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te Chargeur" sheetId="1" state="visible" r:id="rId1"/>
    <sheet xmlns:r="http://schemas.openxmlformats.org/officeDocument/2006/relationships" name="Carte Contrôle &amp; Mesure" sheetId="2" state="visible" r:id="rId2"/>
    <sheet xmlns:r="http://schemas.openxmlformats.org/officeDocument/2006/relationships" name="PCB &amp; Assemblage" sheetId="3" state="visible" r:id="rId3"/>
    <sheet xmlns:r="http://schemas.openxmlformats.org/officeDocument/2006/relationships" name="Synthè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BDD7EE"/>
      <sz val="10"/>
    </font>
    <font>
      <name val="Arial"/>
      <b val="1"/>
      <color rgb="00FFFFFF"/>
      <sz val="10"/>
    </font>
    <font>
      <name val="Arial"/>
      <b val="1"/>
      <color rgb="001F3864"/>
      <sz val="10"/>
    </font>
    <font>
      <name val="Arial"/>
      <color rgb="00000000"/>
      <sz val="10"/>
    </font>
    <font>
      <name val="Arial"/>
      <i val="1"/>
      <color rgb="00555555"/>
      <sz val="9"/>
    </font>
    <font>
      <name val="Arial"/>
      <b val="1"/>
      <color rgb="00000000"/>
      <sz val="10"/>
    </font>
    <font>
      <name val="Arial"/>
      <i val="1"/>
      <color rgb="00E2EFDA"/>
      <sz val="10"/>
    </font>
    <font>
      <name val="Arial"/>
      <b val="1"/>
      <color rgb="00375623"/>
      <sz val="10"/>
    </font>
    <font>
      <name val="Arial"/>
      <i val="1"/>
      <color rgb="00DDD0FF"/>
      <sz val="10"/>
    </font>
    <font>
      <name val="Arial"/>
      <b val="1"/>
      <color rgb="005C3D99"/>
      <sz val="10"/>
    </font>
    <font>
      <name val="Arial"/>
      <b val="1"/>
      <color rgb="00FFFFFF"/>
      <sz val="11"/>
    </font>
    <font>
      <name val="Arial"/>
      <i val="1"/>
      <color rgb="001F3864"/>
      <sz val="10"/>
    </font>
    <font>
      <name val="Arial"/>
      <b val="1"/>
      <color rgb="00000000"/>
      <sz val="9"/>
    </font>
    <font>
      <name val="Arial"/>
      <i val="1"/>
      <color rgb="00444444"/>
      <sz val="8"/>
    </font>
    <font>
      <name val="Arial"/>
      <sz val="9"/>
    </font>
    <font>
      <name val="Arial"/>
      <b val="1"/>
      <sz val="10"/>
    </font>
    <font>
      <name val="Arial"/>
      <b val="1"/>
      <color rgb="00FFFFFF"/>
      <sz val="9"/>
    </font>
    <font>
      <name val="Arial"/>
      <sz val="10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FA3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375623"/>
      </patternFill>
    </fill>
    <fill>
      <patternFill patternType="solid">
        <fgColor rgb="0070AD47"/>
      </patternFill>
    </fill>
    <fill>
      <patternFill patternType="solid">
        <fgColor rgb="00ED7D31"/>
      </patternFill>
    </fill>
    <fill>
      <patternFill patternType="solid">
        <fgColor rgb="00FCE4D6"/>
      </patternFill>
    </fill>
    <fill>
      <patternFill patternType="solid">
        <fgColor rgb="005C3D99"/>
      </patternFill>
    </fill>
    <fill>
      <patternFill patternType="solid">
        <fgColor rgb="007B5EA7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EBF3FB"/>
      </patternFill>
    </fill>
  </fills>
  <borders count="11">
    <border>
      <left/>
      <right/>
      <top/>
      <bottom/>
      <diagonal/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/>
      <diagonal/>
    </border>
    <border>
      <left/>
      <right/>
      <top style="medium">
        <color rgb="001F3864"/>
      </top>
      <bottom style="medium">
        <color rgb="001F3864"/>
      </bottom>
      <diagonal/>
    </border>
    <border>
      <left/>
      <right style="medium">
        <color rgb="001F3864"/>
      </right>
      <top style="medium">
        <color rgb="001F3864"/>
      </top>
      <bottom style="medium">
        <color rgb="001F3864"/>
      </bottom>
      <diagonal/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/>
    </xf>
    <xf numFmtId="0" fontId="4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left" vertical="center" wrapText="1"/>
    </xf>
    <xf numFmtId="1" fontId="7" fillId="4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left" vertical="center" wrapText="1"/>
    </xf>
    <xf numFmtId="1" fontId="7" fillId="5" borderId="2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1" fillId="6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left" vertical="center" wrapText="1"/>
    </xf>
    <xf numFmtId="0" fontId="9" fillId="5" borderId="2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9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left" vertical="center" wrapText="1"/>
    </xf>
    <xf numFmtId="1" fontId="7" fillId="9" borderId="2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/>
    </xf>
    <xf numFmtId="0" fontId="10" fillId="11" borderId="0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11" fillId="4" borderId="2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/>
    </xf>
    <xf numFmtId="0" fontId="12" fillId="3" borderId="0" applyAlignment="1" pivotButton="0" quotePrefix="0" xfId="0">
      <alignment horizontal="center" vertical="center"/>
    </xf>
    <xf numFmtId="0" fontId="13" fillId="12" borderId="0" applyAlignment="1" pivotButton="0" quotePrefix="0" xfId="0">
      <alignment horizontal="left" vertical="center" wrapText="1"/>
    </xf>
    <xf numFmtId="0" fontId="14" fillId="12" borderId="2" applyAlignment="1" pivotButton="0" quotePrefix="0" xfId="0">
      <alignment horizontal="left" vertical="center" wrapText="1"/>
    </xf>
    <xf numFmtId="0" fontId="15" fillId="12" borderId="2" applyAlignment="1" pivotButton="0" quotePrefix="0" xfId="0">
      <alignment horizontal="left" vertical="center" wrapText="1"/>
    </xf>
    <xf numFmtId="0" fontId="16" fillId="12" borderId="2" applyAlignment="1" pivotButton="0" quotePrefix="0" xfId="0">
      <alignment horizontal="center" vertical="center"/>
    </xf>
    <xf numFmtId="0" fontId="17" fillId="12" borderId="2" applyAlignment="1" pivotButton="0" quotePrefix="0" xfId="0">
      <alignment horizontal="center" vertical="center"/>
    </xf>
    <xf numFmtId="0" fontId="18" fillId="3" borderId="2" applyAlignment="1" pivotButton="0" quotePrefix="0" xfId="0">
      <alignment horizontal="center" vertical="center"/>
    </xf>
    <xf numFmtId="0" fontId="14" fillId="4" borderId="2" applyAlignment="1" pivotButton="0" quotePrefix="0" xfId="0">
      <alignment horizontal="left" vertical="center" wrapText="1"/>
    </xf>
    <xf numFmtId="0" fontId="15" fillId="4" borderId="2" applyAlignment="1" pivotButton="0" quotePrefix="0" xfId="0">
      <alignment horizontal="left" vertical="center" wrapText="1"/>
    </xf>
    <xf numFmtId="0" fontId="16" fillId="4" borderId="2" applyAlignment="1" pivotButton="0" quotePrefix="0" xfId="0">
      <alignment horizontal="center" vertical="center"/>
    </xf>
    <xf numFmtId="0" fontId="17" fillId="4" borderId="2" applyAlignment="1" pivotButton="0" quotePrefix="0" xfId="0">
      <alignment horizontal="center" vertical="center"/>
    </xf>
    <xf numFmtId="0" fontId="14" fillId="13" borderId="2" applyAlignment="1" pivotButton="0" quotePrefix="0" xfId="0">
      <alignment horizontal="left" vertical="center" wrapText="1"/>
    </xf>
    <xf numFmtId="0" fontId="15" fillId="13" borderId="2" applyAlignment="1" pivotButton="0" quotePrefix="0" xfId="0">
      <alignment horizontal="left" vertical="center" wrapText="1"/>
    </xf>
    <xf numFmtId="0" fontId="16" fillId="13" borderId="2" applyAlignment="1" pivotButton="0" quotePrefix="0" xfId="0">
      <alignment horizontal="center" vertical="center"/>
    </xf>
    <xf numFmtId="0" fontId="17" fillId="13" borderId="2" applyAlignment="1" pivotButton="0" quotePrefix="0" xfId="0">
      <alignment horizontal="center" vertical="center"/>
    </xf>
    <xf numFmtId="0" fontId="18" fillId="7" borderId="2" applyAlignment="1" pivotButton="0" quotePrefix="0" xfId="0">
      <alignment horizontal="center" vertical="center"/>
    </xf>
    <xf numFmtId="0" fontId="14" fillId="5" borderId="2" applyAlignment="1" pivotButton="0" quotePrefix="0" xfId="0">
      <alignment horizontal="left" vertical="center" wrapText="1"/>
    </xf>
    <xf numFmtId="0" fontId="15" fillId="5" borderId="2" applyAlignment="1" pivotButton="0" quotePrefix="0" xfId="0">
      <alignment horizontal="left" vertical="center" wrapText="1"/>
    </xf>
    <xf numFmtId="0" fontId="16" fillId="5" borderId="2" applyAlignment="1" pivotButton="0" quotePrefix="0" xfId="0">
      <alignment horizontal="center" vertical="center"/>
    </xf>
    <xf numFmtId="0" fontId="17" fillId="5" borderId="2" applyAlignment="1" pivotButton="0" quotePrefix="0" xfId="0">
      <alignment horizontal="center" vertical="center"/>
    </xf>
    <xf numFmtId="0" fontId="18" fillId="11" borderId="2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19" fillId="5" borderId="2" applyAlignment="1" pivotButton="0" quotePrefix="0" xfId="0">
      <alignment horizontal="left" vertical="center"/>
    </xf>
    <xf numFmtId="0" fontId="3" fillId="7" borderId="2" applyAlignment="1" pivotButton="0" quotePrefix="0" xfId="0">
      <alignment horizontal="center" vertical="center"/>
    </xf>
    <xf numFmtId="0" fontId="3" fillId="11" borderId="2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 wrapText="1"/>
    </xf>
    <xf numFmtId="0" fontId="7" fillId="14" borderId="0" applyAlignment="1" pivotButton="0" quotePrefix="0" xfId="0">
      <alignment horizontal="center" vertical="center"/>
    </xf>
    <xf numFmtId="0" fontId="5" fillId="14" borderId="0" applyAlignment="1" pivotButton="0" quotePrefix="0" xfId="0">
      <alignment horizontal="left" vertical="center" wrapText="1"/>
    </xf>
    <xf numFmtId="0" fontId="3" fillId="15" borderId="0" applyAlignment="1" pivotButton="0" quotePrefix="0" xfId="0">
      <alignment horizontal="left" vertical="center" wrapText="1"/>
    </xf>
    <xf numFmtId="0" fontId="7" fillId="14" borderId="0" applyAlignment="1" pivotButton="0" quotePrefix="0" xfId="0">
      <alignment horizontal="left" vertical="center" wrapText="1"/>
    </xf>
    <xf numFmtId="0" fontId="5" fillId="1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center" vertical="center"/>
    </xf>
    <xf numFmtId="0" fontId="5" fillId="16" borderId="0" applyAlignment="1" pivotButton="0" quotePrefix="0" xfId="0">
      <alignment horizontal="left" vertical="center" wrapText="1"/>
    </xf>
    <xf numFmtId="0" fontId="5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5FA3"/>
    <outlinePr summaryBelow="1" summaryRight="1"/>
    <pageSetUpPr/>
  </sheetPr>
  <dimension ref="A1:N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22" customWidth="1" min="2" max="2"/>
    <col width="18" customWidth="1" min="3" max="3"/>
    <col width="14" customWidth="1" min="4" max="4"/>
    <col width="22" customWidth="1" min="5" max="5"/>
    <col width="20" customWidth="1" min="6" max="6"/>
    <col width="10" customWidth="1" min="7" max="7"/>
    <col width="14" customWidth="1" min="8" max="8"/>
    <col width="16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20" customHeight="1">
      <c r="A1" s="59" t="inlineStr">
        <is>
          <t>Activity</t>
        </is>
      </c>
    </row>
    <row r="2" ht="18" customHeight="1">
      <c r="A2" s="65" t="inlineStr">
        <is>
          <t>code</t>
        </is>
      </c>
    </row>
    <row r="3" ht="18" customHeight="1">
      <c r="A3" s="67" t="inlineStr">
        <is>
          <t>Exchanges</t>
        </is>
      </c>
    </row>
    <row r="4" ht="18" customHeight="1">
      <c r="A4" s="59" t="inlineStr">
        <is>
          <t>name</t>
        </is>
      </c>
      <c r="B4" s="59" t="inlineStr">
        <is>
          <t>alt-name</t>
        </is>
      </c>
      <c r="C4" s="59" t="inlineStr">
        <is>
          <t>amount</t>
        </is>
      </c>
      <c r="D4" s="59" t="inlineStr">
        <is>
          <t>unit</t>
        </is>
      </c>
      <c r="E4" s="59" t="inlineStr">
        <is>
          <t>database</t>
        </is>
      </c>
      <c r="F4" s="59" t="inlineStr">
        <is>
          <t>categories</t>
        </is>
      </c>
      <c r="G4" s="59" t="inlineStr">
        <is>
          <t>location</t>
        </is>
      </c>
      <c r="H4" s="59" t="inlineStr">
        <is>
          <t>type</t>
        </is>
      </c>
      <c r="I4" s="59" t="inlineStr">
        <is>
          <t>uncertainty type</t>
        </is>
      </c>
      <c r="J4" s="59" t="inlineStr">
        <is>
          <t>loc</t>
        </is>
      </c>
      <c r="K4" s="59" t="inlineStr">
        <is>
          <t>scale</t>
        </is>
      </c>
      <c r="L4" s="59" t="inlineStr">
        <is>
          <t>shape</t>
        </is>
      </c>
      <c r="M4" s="59" t="inlineStr">
        <is>
          <t>minimum</t>
        </is>
      </c>
      <c r="N4" s="59" t="inlineStr">
        <is>
          <t>maximum</t>
        </is>
      </c>
    </row>
    <row r="5" ht="20" customHeight="1">
      <c r="A5" s="68" t="inlineStr">
        <is>
          <t>Carte Chargeur production</t>
        </is>
      </c>
      <c r="H5" s="69" t="inlineStr">
        <is>
          <t>production</t>
        </is>
      </c>
      <c r="I5" s="69" t="n">
        <v>0</v>
      </c>
      <c r="J5" s="69" t="inlineStr">
        <is>
          <t>(Unknown)</t>
        </is>
      </c>
      <c r="K5" s="69" t="inlineStr">
        <is>
          <t>(Unknown)</t>
        </is>
      </c>
      <c r="L5" s="69" t="inlineStr">
        <is>
          <t>(Unknown)</t>
        </is>
      </c>
      <c r="M5" s="69" t="inlineStr">
        <is>
          <t>(Unknown)</t>
        </is>
      </c>
      <c r="N5" s="69" t="inlineStr">
        <is>
          <t>(Unknown)</t>
        </is>
      </c>
    </row>
    <row r="6" ht="40" customHeight="1">
      <c r="A6" s="70" t="inlineStr">
        <is>
          <t>market for integrated circuit, logic type</t>
        </is>
      </c>
      <c r="B6" s="70" t="inlineStr">
        <is>
          <t>ic cn3765 sop-8</t>
        </is>
      </c>
      <c r="C6" s="71">
        <f>1*54/1000000</f>
        <v/>
      </c>
      <c r="D6" s="71" t="inlineStr">
        <is>
          <t>kilogram</t>
        </is>
      </c>
      <c r="E6" s="71" t="inlineStr">
        <is>
          <t>ecoinvent-391-cutoff</t>
        </is>
      </c>
      <c r="F6" s="71" t="inlineStr">
        <is>
          <t>ic</t>
        </is>
      </c>
      <c r="G6" s="71" t="inlineStr">
        <is>
          <t>GLO</t>
        </is>
      </c>
      <c r="H6" s="71" t="inlineStr">
        <is>
          <t>technosphere</t>
        </is>
      </c>
      <c r="I6" s="71" t="n">
        <v>0</v>
      </c>
      <c r="J6" s="71" t="inlineStr">
        <is>
          <t>(Unknown)</t>
        </is>
      </c>
      <c r="K6" s="71" t="inlineStr">
        <is>
          <t>(Unknown)</t>
        </is>
      </c>
      <c r="L6" s="71" t="inlineStr">
        <is>
          <t>(Unknown)</t>
        </is>
      </c>
      <c r="M6" s="71" t="inlineStr">
        <is>
          <t>(Unknown)</t>
        </is>
      </c>
      <c r="N6" s="71" t="inlineStr">
        <is>
          <t>(Unknown)</t>
        </is>
      </c>
    </row>
    <row r="7" ht="40" customHeight="1">
      <c r="A7" s="72" t="inlineStr">
        <is>
          <t>market for inductor, low value multilayer chip</t>
        </is>
      </c>
      <c r="B7" s="72" t="inlineStr">
        <is>
          <t>inductor 10uH cms</t>
        </is>
      </c>
      <c r="C7" s="73">
        <f>1*50/1000000</f>
        <v/>
      </c>
      <c r="D7" s="73" t="inlineStr">
        <is>
          <t>kilogram</t>
        </is>
      </c>
      <c r="E7" s="73" t="inlineStr">
        <is>
          <t>ecoinvent-391-cutoff</t>
        </is>
      </c>
      <c r="F7" s="73" t="inlineStr">
        <is>
          <t>passive-component</t>
        </is>
      </c>
      <c r="G7" s="73" t="inlineStr">
        <is>
          <t>GLO</t>
        </is>
      </c>
      <c r="H7" s="73" t="inlineStr">
        <is>
          <t>technosphere</t>
        </is>
      </c>
      <c r="I7" s="73" t="n">
        <v>0</v>
      </c>
      <c r="J7" s="73" t="inlineStr">
        <is>
          <t>(Unknown)</t>
        </is>
      </c>
      <c r="K7" s="73" t="inlineStr">
        <is>
          <t>(Unknown)</t>
        </is>
      </c>
      <c r="L7" s="73" t="inlineStr">
        <is>
          <t>(Unknown)</t>
        </is>
      </c>
      <c r="M7" s="73" t="inlineStr">
        <is>
          <t>(Unknown)</t>
        </is>
      </c>
      <c r="N7" s="73" t="inlineStr">
        <is>
          <t>(Unknown)</t>
        </is>
      </c>
    </row>
    <row r="8" ht="40" customHeight="1">
      <c r="A8" s="70" t="inlineStr">
        <is>
          <t>market for capacitor, for surface-mounting</t>
        </is>
      </c>
      <c r="B8" s="70" t="inlineStr">
        <is>
          <t>capacitor 0402 10uF in</t>
        </is>
      </c>
      <c r="C8" s="71">
        <f>2*1.5/1000000</f>
        <v/>
      </c>
      <c r="D8" s="71" t="inlineStr">
        <is>
          <t>kilogram</t>
        </is>
      </c>
      <c r="E8" s="71" t="inlineStr">
        <is>
          <t>ecoinvent-391-cutoff</t>
        </is>
      </c>
      <c r="F8" s="71" t="inlineStr">
        <is>
          <t>passive-component</t>
        </is>
      </c>
      <c r="G8" s="71" t="inlineStr">
        <is>
          <t>GLO</t>
        </is>
      </c>
      <c r="H8" s="71" t="inlineStr">
        <is>
          <t>technosphere</t>
        </is>
      </c>
      <c r="I8" s="71" t="n">
        <v>0</v>
      </c>
      <c r="J8" s="71" t="inlineStr">
        <is>
          <t>(Unknown)</t>
        </is>
      </c>
      <c r="K8" s="71" t="inlineStr">
        <is>
          <t>(Unknown)</t>
        </is>
      </c>
      <c r="L8" s="71" t="inlineStr">
        <is>
          <t>(Unknown)</t>
        </is>
      </c>
      <c r="M8" s="71" t="inlineStr">
        <is>
          <t>(Unknown)</t>
        </is>
      </c>
      <c r="N8" s="71" t="inlineStr">
        <is>
          <t>(Unknown)</t>
        </is>
      </c>
    </row>
    <row r="9" ht="40" customHeight="1">
      <c r="A9" s="72" t="inlineStr">
        <is>
          <t>market for capacitor, for surface-mounting</t>
        </is>
      </c>
      <c r="B9" s="72" t="inlineStr">
        <is>
          <t>capacitor 0402 22uF out</t>
        </is>
      </c>
      <c r="C9" s="73">
        <f>2*1.5/1000000</f>
        <v/>
      </c>
      <c r="D9" s="73" t="inlineStr">
        <is>
          <t>kilogram</t>
        </is>
      </c>
      <c r="E9" s="73" t="inlineStr">
        <is>
          <t>ecoinvent-391-cutoff</t>
        </is>
      </c>
      <c r="F9" s="73" t="inlineStr">
        <is>
          <t>passive-component</t>
        </is>
      </c>
      <c r="G9" s="73" t="inlineStr">
        <is>
          <t>GLO</t>
        </is>
      </c>
      <c r="H9" s="73" t="inlineStr">
        <is>
          <t>technosphere</t>
        </is>
      </c>
      <c r="I9" s="73" t="n">
        <v>0</v>
      </c>
      <c r="J9" s="73" t="inlineStr">
        <is>
          <t>(Unknown)</t>
        </is>
      </c>
      <c r="K9" s="73" t="inlineStr">
        <is>
          <t>(Unknown)</t>
        </is>
      </c>
      <c r="L9" s="73" t="inlineStr">
        <is>
          <t>(Unknown)</t>
        </is>
      </c>
      <c r="M9" s="73" t="inlineStr">
        <is>
          <t>(Unknown)</t>
        </is>
      </c>
      <c r="N9" s="73" t="inlineStr">
        <is>
          <t>(Unknown)</t>
        </is>
      </c>
    </row>
    <row r="10" ht="40" customHeight="1">
      <c r="A10" s="70" t="inlineStr">
        <is>
          <t>market for resistor, surface-mounted</t>
        </is>
      </c>
      <c r="B10" s="70" t="inlineStr">
        <is>
          <t>resistor 0402 prog</t>
        </is>
      </c>
      <c r="C10" s="71">
        <f>4*0.65/1000000</f>
        <v/>
      </c>
      <c r="D10" s="71" t="inlineStr">
        <is>
          <t>kilogram</t>
        </is>
      </c>
      <c r="E10" s="71" t="inlineStr">
        <is>
          <t>ecoinvent-391-cutoff</t>
        </is>
      </c>
      <c r="F10" s="71" t="inlineStr">
        <is>
          <t>passive-component</t>
        </is>
      </c>
      <c r="G10" s="71" t="inlineStr">
        <is>
          <t>GLO</t>
        </is>
      </c>
      <c r="H10" s="71" t="inlineStr">
        <is>
          <t>technosphere</t>
        </is>
      </c>
      <c r="I10" s="71" t="n">
        <v>0</v>
      </c>
      <c r="J10" s="71" t="inlineStr">
        <is>
          <t>(Unknown)</t>
        </is>
      </c>
      <c r="K10" s="71" t="inlineStr">
        <is>
          <t>(Unknown)</t>
        </is>
      </c>
      <c r="L10" s="71" t="inlineStr">
        <is>
          <t>(Unknown)</t>
        </is>
      </c>
      <c r="M10" s="71" t="inlineStr">
        <is>
          <t>(Unknown)</t>
        </is>
      </c>
      <c r="N10" s="71" t="inlineStr">
        <is>
          <t>(Unknown)</t>
        </is>
      </c>
    </row>
    <row r="11" ht="40" customHeight="1">
      <c r="A11" s="72" t="inlineStr">
        <is>
          <t>market for diode, glass-, for surface-mounting</t>
        </is>
      </c>
      <c r="B11" s="72" t="inlineStr">
        <is>
          <t>diode schottky sod-123</t>
        </is>
      </c>
      <c r="C11" s="73">
        <f>1*33/1000000</f>
        <v/>
      </c>
      <c r="D11" s="73" t="inlineStr">
        <is>
          <t>kilogram</t>
        </is>
      </c>
      <c r="E11" s="73" t="inlineStr">
        <is>
          <t>ecoinvent-391-cutoff</t>
        </is>
      </c>
      <c r="F11" s="73" t="inlineStr">
        <is>
          <t>passive-component</t>
        </is>
      </c>
      <c r="G11" s="73" t="inlineStr">
        <is>
          <t>GLO</t>
        </is>
      </c>
      <c r="H11" s="73" t="inlineStr">
        <is>
          <t>technosphere</t>
        </is>
      </c>
      <c r="I11" s="73" t="n">
        <v>0</v>
      </c>
      <c r="J11" s="73" t="inlineStr">
        <is>
          <t>(Unknown)</t>
        </is>
      </c>
      <c r="K11" s="73" t="inlineStr">
        <is>
          <t>(Unknown)</t>
        </is>
      </c>
      <c r="L11" s="73" t="inlineStr">
        <is>
          <t>(Unknown)</t>
        </is>
      </c>
      <c r="M11" s="73" t="inlineStr">
        <is>
          <t>(Unknown)</t>
        </is>
      </c>
      <c r="N11" s="73" t="inlineStr">
        <is>
          <t>(Unknown)</t>
        </is>
      </c>
    </row>
    <row r="12" ht="20" customHeight="1">
      <c r="A12" s="70" t="inlineStr">
        <is>
          <t>market for integrated circuit, logic type</t>
        </is>
      </c>
      <c r="H12" s="71" t="inlineStr">
        <is>
          <t>technosphere</t>
        </is>
      </c>
      <c r="I12" s="71" t="n">
        <v>0</v>
      </c>
      <c r="J12" s="71" t="inlineStr">
        <is>
          <t>(Unknown)</t>
        </is>
      </c>
      <c r="K12" s="71" t="inlineStr">
        <is>
          <t>(Unknown)</t>
        </is>
      </c>
      <c r="L12" s="71" t="inlineStr">
        <is>
          <t>(Unknown)</t>
        </is>
      </c>
      <c r="M12" s="71" t="inlineStr">
        <is>
          <t>(Unknown)</t>
        </is>
      </c>
      <c r="N12" s="71" t="inlineStr">
        <is>
          <t>(Unknown)</t>
        </is>
      </c>
    </row>
    <row r="13" ht="40" customHeight="1">
      <c r="A13" s="72" t="inlineStr">
        <is>
          <t>market for electric connector, peripheral type buss</t>
        </is>
      </c>
      <c r="B13" s="72" t="inlineStr">
        <is>
          <t>usb type-c</t>
        </is>
      </c>
      <c r="C13" s="73">
        <f>1*1.124/1000</f>
        <v/>
      </c>
      <c r="D13" s="73" t="inlineStr">
        <is>
          <t>kilogram</t>
        </is>
      </c>
      <c r="E13" s="73" t="inlineStr">
        <is>
          <t>ecoinvent-391-cutoff</t>
        </is>
      </c>
      <c r="F13" s="73" t="inlineStr">
        <is>
          <t>peripherial</t>
        </is>
      </c>
      <c r="G13" s="73" t="inlineStr">
        <is>
          <t>GLO</t>
        </is>
      </c>
      <c r="H13" s="73" t="inlineStr">
        <is>
          <t>technosphere</t>
        </is>
      </c>
      <c r="I13" s="73" t="n">
        <v>0</v>
      </c>
      <c r="J13" s="73" t="inlineStr">
        <is>
          <t>(Unknown)</t>
        </is>
      </c>
      <c r="K13" s="73" t="inlineStr">
        <is>
          <t>(Unknown)</t>
        </is>
      </c>
      <c r="L13" s="73" t="inlineStr">
        <is>
          <t>(Unknown)</t>
        </is>
      </c>
      <c r="M13" s="73" t="inlineStr">
        <is>
          <t>(Unknown)</t>
        </is>
      </c>
      <c r="N13" s="73" t="inlineStr">
        <is>
          <t>(Unknown)</t>
        </is>
      </c>
    </row>
    <row r="14" ht="40" customHeight="1">
      <c r="A14" s="70" t="inlineStr">
        <is>
          <t>market for capacitor, for surface-mounting</t>
        </is>
      </c>
      <c r="B14" s="70" t="inlineStr">
        <is>
          <t>capacitor 0402 decoupl</t>
        </is>
      </c>
      <c r="C14" s="71">
        <f>2*1.5/1000000</f>
        <v/>
      </c>
      <c r="D14" s="71" t="inlineStr">
        <is>
          <t>kilogram</t>
        </is>
      </c>
      <c r="E14" s="71" t="inlineStr">
        <is>
          <t>ecoinvent-391-cutoff</t>
        </is>
      </c>
      <c r="F14" s="71" t="inlineStr">
        <is>
          <t>passive-component</t>
        </is>
      </c>
      <c r="G14" s="71" t="inlineStr">
        <is>
          <t>GLO</t>
        </is>
      </c>
      <c r="H14" s="71" t="inlineStr">
        <is>
          <t>technosphere</t>
        </is>
      </c>
      <c r="I14" s="71" t="n">
        <v>0</v>
      </c>
      <c r="J14" s="71" t="inlineStr">
        <is>
          <t>(Unknown)</t>
        </is>
      </c>
      <c r="K14" s="71" t="inlineStr">
        <is>
          <t>(Unknown)</t>
        </is>
      </c>
      <c r="L14" s="71" t="inlineStr">
        <is>
          <t>(Unknown)</t>
        </is>
      </c>
      <c r="M14" s="71" t="inlineStr">
        <is>
          <t>(Unknown)</t>
        </is>
      </c>
      <c r="N14" s="71" t="inlineStr">
        <is>
          <t>(Unknown)</t>
        </is>
      </c>
    </row>
    <row r="15" ht="40" customHeight="1">
      <c r="A15" s="72" t="inlineStr">
        <is>
          <t>market for integrated circuit, logic type</t>
        </is>
      </c>
      <c r="B15" s="72" t="inlineStr">
        <is>
          <t>ic bms 1s sop-8</t>
        </is>
      </c>
      <c r="C15" s="73">
        <f>1*54/1000000</f>
        <v/>
      </c>
      <c r="D15" s="73" t="inlineStr">
        <is>
          <t>kilogram</t>
        </is>
      </c>
      <c r="E15" s="73" t="inlineStr">
        <is>
          <t>ecoinvent-391-cutoff</t>
        </is>
      </c>
      <c r="F15" s="73" t="inlineStr">
        <is>
          <t>ic</t>
        </is>
      </c>
      <c r="G15" s="73" t="inlineStr">
        <is>
          <t>GLO</t>
        </is>
      </c>
      <c r="H15" s="73" t="inlineStr">
        <is>
          <t>technosphere</t>
        </is>
      </c>
      <c r="I15" s="73" t="n">
        <v>0</v>
      </c>
      <c r="J15" s="73" t="inlineStr">
        <is>
          <t>(Unknown)</t>
        </is>
      </c>
      <c r="K15" s="73" t="inlineStr">
        <is>
          <t>(Unknown)</t>
        </is>
      </c>
      <c r="L15" s="73" t="inlineStr">
        <is>
          <t>(Unknown)</t>
        </is>
      </c>
      <c r="M15" s="73" t="inlineStr">
        <is>
          <t>(Unknown)</t>
        </is>
      </c>
      <c r="N15" s="73" t="inlineStr">
        <is>
          <t>(Unknown)</t>
        </is>
      </c>
    </row>
    <row r="16" ht="20" customHeight="1">
      <c r="A16" s="70" t="inlineStr">
        <is>
          <t>market for transistor, surface-mounted</t>
        </is>
      </c>
      <c r="H16" s="71" t="inlineStr">
        <is>
          <t>technosphere</t>
        </is>
      </c>
      <c r="I16" s="71" t="n">
        <v>0</v>
      </c>
      <c r="J16" s="71" t="inlineStr">
        <is>
          <t>(Unknown)</t>
        </is>
      </c>
      <c r="K16" s="71" t="inlineStr">
        <is>
          <t>(Unknown)</t>
        </is>
      </c>
      <c r="L16" s="71" t="inlineStr">
        <is>
          <t>(Unknown)</t>
        </is>
      </c>
      <c r="M16" s="71" t="inlineStr">
        <is>
          <t>(Unknown)</t>
        </is>
      </c>
      <c r="N16" s="71" t="inlineStr">
        <is>
          <t>(Unknown)</t>
        </is>
      </c>
    </row>
    <row r="17" ht="40" customHeight="1">
      <c r="A17" s="72" t="inlineStr">
        <is>
          <t>market for transistor, surface-mounted</t>
        </is>
      </c>
      <c r="B17" s="72" t="inlineStr">
        <is>
          <t>mosfet n sot-23 disch</t>
        </is>
      </c>
      <c r="C17" s="73">
        <f>1*8/1000000</f>
        <v/>
      </c>
      <c r="D17" s="73" t="inlineStr">
        <is>
          <t>kilogram</t>
        </is>
      </c>
      <c r="E17" s="73" t="inlineStr">
        <is>
          <t>ecoinvent-391-cutoff</t>
        </is>
      </c>
      <c r="F17" s="73" t="inlineStr">
        <is>
          <t>passive-component</t>
        </is>
      </c>
      <c r="G17" s="73" t="inlineStr">
        <is>
          <t>GLO</t>
        </is>
      </c>
      <c r="H17" s="73" t="inlineStr">
        <is>
          <t>technosphere</t>
        </is>
      </c>
      <c r="I17" s="73" t="n">
        <v>0</v>
      </c>
      <c r="J17" s="73" t="inlineStr">
        <is>
          <t>(Unknown)</t>
        </is>
      </c>
      <c r="K17" s="73" t="inlineStr">
        <is>
          <t>(Unknown)</t>
        </is>
      </c>
      <c r="L17" s="73" t="inlineStr">
        <is>
          <t>(Unknown)</t>
        </is>
      </c>
      <c r="M17" s="73" t="inlineStr">
        <is>
          <t>(Unknown)</t>
        </is>
      </c>
      <c r="N17" s="73" t="inlineStr">
        <is>
          <t>(Unknown)</t>
        </is>
      </c>
    </row>
    <row r="18" ht="40" customHeight="1">
      <c r="A18" s="70" t="inlineStr">
        <is>
          <t>market for resistor, surface-mounted</t>
        </is>
      </c>
      <c r="B18" s="70" t="inlineStr">
        <is>
          <t>shunt resistor 2512</t>
        </is>
      </c>
      <c r="C18" s="71">
        <f>1*50/1000000</f>
        <v/>
      </c>
      <c r="D18" s="71" t="inlineStr">
        <is>
          <t>kilogram</t>
        </is>
      </c>
      <c r="E18" s="71" t="inlineStr">
        <is>
          <t>ecoinvent-391-cutoff</t>
        </is>
      </c>
      <c r="F18" s="71" t="inlineStr">
        <is>
          <t>passive-component</t>
        </is>
      </c>
      <c r="G18" s="71" t="inlineStr">
        <is>
          <t>GLO</t>
        </is>
      </c>
      <c r="H18" s="71" t="inlineStr">
        <is>
          <t>technosphere</t>
        </is>
      </c>
      <c r="I18" s="71" t="n">
        <v>0</v>
      </c>
      <c r="J18" s="71" t="inlineStr">
        <is>
          <t>(Unknown)</t>
        </is>
      </c>
      <c r="K18" s="71" t="inlineStr">
        <is>
          <t>(Unknown)</t>
        </is>
      </c>
      <c r="L18" s="71" t="inlineStr">
        <is>
          <t>(Unknown)</t>
        </is>
      </c>
      <c r="M18" s="71" t="inlineStr">
        <is>
          <t>(Unknown)</t>
        </is>
      </c>
      <c r="N18" s="71" t="inlineStr">
        <is>
          <t>(Unknown)</t>
        </is>
      </c>
    </row>
    <row r="19" ht="40" customHeight="1">
      <c r="A19" s="72" t="inlineStr">
        <is>
          <t>market for electric connector, peripheral component interconnect buss</t>
        </is>
      </c>
      <c r="B19" s="72" t="inlineStr">
        <is>
          <t>jst ph 2.0mm</t>
        </is>
      </c>
      <c r="C19" s="73">
        <f>1*0.5/1000</f>
        <v/>
      </c>
      <c r="D19" s="73" t="inlineStr">
        <is>
          <t>kilogram</t>
        </is>
      </c>
      <c r="E19" s="73" t="inlineStr">
        <is>
          <t>ecoinvent-391-cutoff</t>
        </is>
      </c>
      <c r="F19" s="73" t="inlineStr">
        <is>
          <t>peripherial</t>
        </is>
      </c>
      <c r="G19" s="73" t="inlineStr">
        <is>
          <t>GLO</t>
        </is>
      </c>
      <c r="H19" s="73" t="inlineStr">
        <is>
          <t>technosphere</t>
        </is>
      </c>
      <c r="I19" s="73" t="n">
        <v>0</v>
      </c>
      <c r="J19" s="73" t="inlineStr">
        <is>
          <t>(Unknown)</t>
        </is>
      </c>
      <c r="K19" s="73" t="inlineStr">
        <is>
          <t>(Unknown)</t>
        </is>
      </c>
      <c r="L19" s="73" t="inlineStr">
        <is>
          <t>(Unknown)</t>
        </is>
      </c>
      <c r="M19" s="73" t="inlineStr">
        <is>
          <t>(Unknown)</t>
        </is>
      </c>
      <c r="N19" s="73" t="inlineStr">
        <is>
          <t>(Unknown)</t>
        </is>
      </c>
    </row>
    <row r="20" ht="40" customHeight="1">
      <c r="A20" s="70" t="inlineStr">
        <is>
          <t>market for printed wiring board, for surface mounting, Pb free surface</t>
        </is>
      </c>
      <c r="B20" s="70" t="inlineStr">
        <is>
          <t>pcb chargeur 2 layers</t>
        </is>
      </c>
      <c r="C20" s="71">
        <f>0.01</f>
        <v/>
      </c>
      <c r="D20" s="71" t="inlineStr">
        <is>
          <t>square meter</t>
        </is>
      </c>
      <c r="E20" s="71" t="inlineStr">
        <is>
          <t>ecoinvent-391-cutoff</t>
        </is>
      </c>
      <c r="F20" s="71" t="inlineStr">
        <is>
          <t>pcb</t>
        </is>
      </c>
      <c r="G20" s="71" t="inlineStr">
        <is>
          <t>GLO</t>
        </is>
      </c>
      <c r="H20" s="71" t="inlineStr">
        <is>
          <t>technosphere</t>
        </is>
      </c>
      <c r="I20" s="71" t="n">
        <v>0</v>
      </c>
      <c r="J20" s="71" t="inlineStr">
        <is>
          <t>(Unknown)</t>
        </is>
      </c>
      <c r="K20" s="71" t="inlineStr">
        <is>
          <t>(Unknown)</t>
        </is>
      </c>
      <c r="L20" s="71" t="inlineStr">
        <is>
          <t>(Unknown)</t>
        </is>
      </c>
      <c r="M20" s="71" t="inlineStr">
        <is>
          <t>(Unknown)</t>
        </is>
      </c>
      <c r="N20" s="71" t="inlineStr">
        <is>
          <t>(Unknown)</t>
        </is>
      </c>
    </row>
    <row r="21" ht="40" customHeight="1">
      <c r="A21" s="72" t="inlineStr">
        <is>
          <t>market for mounting, surface mount technology, Pb-free solder</t>
        </is>
      </c>
      <c r="B21" s="72" t="inlineStr">
        <is>
          <t>pcb mounting chargeur</t>
        </is>
      </c>
      <c r="C21" s="73">
        <f>0.01</f>
        <v/>
      </c>
      <c r="D21" s="73" t="inlineStr">
        <is>
          <t>square meter</t>
        </is>
      </c>
      <c r="E21" s="73" t="inlineStr">
        <is>
          <t>ecoinvent-391-cutoff</t>
        </is>
      </c>
      <c r="F21" s="73" t="inlineStr">
        <is>
          <t>pcb</t>
        </is>
      </c>
      <c r="G21" s="73" t="inlineStr">
        <is>
          <t>GLO</t>
        </is>
      </c>
      <c r="H21" s="73" t="inlineStr">
        <is>
          <t>technosphere</t>
        </is>
      </c>
      <c r="I21" s="73" t="n">
        <v>0</v>
      </c>
      <c r="J21" s="73" t="inlineStr">
        <is>
          <t>(Unknown)</t>
        </is>
      </c>
      <c r="K21" s="73" t="inlineStr">
        <is>
          <t>(Unknown)</t>
        </is>
      </c>
      <c r="L21" s="73" t="inlineStr">
        <is>
          <t>(Unknown)</t>
        </is>
      </c>
      <c r="M21" s="73" t="inlineStr">
        <is>
          <t>(Unknown)</t>
        </is>
      </c>
      <c r="N21" s="73" t="inlineStr">
        <is>
          <t>(Unknown)</t>
        </is>
      </c>
    </row>
  </sheetData>
  <mergeCells count="6">
    <mergeCell ref="A3:N3"/>
    <mergeCell ref="A1:G1"/>
    <mergeCell ref="A12:G12"/>
    <mergeCell ref="A16:G16"/>
    <mergeCell ref="A2:G2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N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22" customWidth="1" min="2" max="2"/>
    <col width="18" customWidth="1" min="3" max="3"/>
    <col width="14" customWidth="1" min="4" max="4"/>
    <col width="22" customWidth="1" min="5" max="5"/>
    <col width="20" customWidth="1" min="6" max="6"/>
    <col width="10" customWidth="1" min="7" max="7"/>
    <col width="14" customWidth="1" min="8" max="8"/>
    <col width="16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20" customHeight="1">
      <c r="A1" s="59" t="inlineStr">
        <is>
          <t>Activity</t>
        </is>
      </c>
    </row>
    <row r="2" ht="18" customHeight="1">
      <c r="A2" s="65" t="inlineStr">
        <is>
          <t>code</t>
        </is>
      </c>
    </row>
    <row r="3" ht="18" customHeight="1">
      <c r="A3" s="67" t="inlineStr">
        <is>
          <t>Exchanges</t>
        </is>
      </c>
    </row>
    <row r="4" ht="18" customHeight="1">
      <c r="A4" s="59" t="inlineStr">
        <is>
          <t>name</t>
        </is>
      </c>
      <c r="B4" s="59" t="inlineStr">
        <is>
          <t>alt-name</t>
        </is>
      </c>
      <c r="C4" s="59" t="inlineStr">
        <is>
          <t>amount</t>
        </is>
      </c>
      <c r="D4" s="59" t="inlineStr">
        <is>
          <t>unit</t>
        </is>
      </c>
      <c r="E4" s="59" t="inlineStr">
        <is>
          <t>database</t>
        </is>
      </c>
      <c r="F4" s="59" t="inlineStr">
        <is>
          <t>categories</t>
        </is>
      </c>
      <c r="G4" s="59" t="inlineStr">
        <is>
          <t>location</t>
        </is>
      </c>
      <c r="H4" s="59" t="inlineStr">
        <is>
          <t>type</t>
        </is>
      </c>
      <c r="I4" s="59" t="inlineStr">
        <is>
          <t>uncertainty type</t>
        </is>
      </c>
      <c r="J4" s="59" t="inlineStr">
        <is>
          <t>loc</t>
        </is>
      </c>
      <c r="K4" s="59" t="inlineStr">
        <is>
          <t>scale</t>
        </is>
      </c>
      <c r="L4" s="59" t="inlineStr">
        <is>
          <t>shape</t>
        </is>
      </c>
      <c r="M4" s="59" t="inlineStr">
        <is>
          <t>minimum</t>
        </is>
      </c>
      <c r="N4" s="59" t="inlineStr">
        <is>
          <t>maximum</t>
        </is>
      </c>
    </row>
    <row r="5" ht="20" customHeight="1">
      <c r="A5" s="68" t="inlineStr">
        <is>
          <t>Carte Contrôle &amp; Mesure production</t>
        </is>
      </c>
      <c r="H5" s="69" t="inlineStr">
        <is>
          <t>production</t>
        </is>
      </c>
      <c r="I5" s="69" t="n">
        <v>0</v>
      </c>
      <c r="J5" s="69" t="inlineStr">
        <is>
          <t>(Unknown)</t>
        </is>
      </c>
      <c r="K5" s="69" t="inlineStr">
        <is>
          <t>(Unknown)</t>
        </is>
      </c>
      <c r="L5" s="69" t="inlineStr">
        <is>
          <t>(Unknown)</t>
        </is>
      </c>
      <c r="M5" s="69" t="inlineStr">
        <is>
          <t>(Unknown)</t>
        </is>
      </c>
      <c r="N5" s="69" t="inlineStr">
        <is>
          <t>(Unknown)</t>
        </is>
      </c>
    </row>
    <row r="6" ht="40" customHeight="1">
      <c r="A6" s="70" t="inlineStr">
        <is>
          <t>market for integrated circuit, logic type</t>
        </is>
      </c>
      <c r="B6" s="70" t="inlineStr">
        <is>
          <t>ic max17055 wlp</t>
        </is>
      </c>
      <c r="C6" s="71">
        <f>1*20/1000000</f>
        <v/>
      </c>
      <c r="D6" s="71" t="inlineStr">
        <is>
          <t>kilogram</t>
        </is>
      </c>
      <c r="E6" s="71" t="inlineStr">
        <is>
          <t>ecoinvent-391-cutoff</t>
        </is>
      </c>
      <c r="F6" s="71" t="inlineStr">
        <is>
          <t>ic</t>
        </is>
      </c>
      <c r="G6" s="71" t="inlineStr">
        <is>
          <t>GLO</t>
        </is>
      </c>
      <c r="H6" s="71" t="inlineStr">
        <is>
          <t>technosphere</t>
        </is>
      </c>
      <c r="I6" s="71" t="n">
        <v>0</v>
      </c>
      <c r="J6" s="71" t="inlineStr">
        <is>
          <t>(Unknown)</t>
        </is>
      </c>
      <c r="K6" s="71" t="inlineStr">
        <is>
          <t>(Unknown)</t>
        </is>
      </c>
      <c r="L6" s="71" t="inlineStr">
        <is>
          <t>(Unknown)</t>
        </is>
      </c>
      <c r="M6" s="71" t="inlineStr">
        <is>
          <t>(Unknown)</t>
        </is>
      </c>
      <c r="N6" s="71" t="inlineStr">
        <is>
          <t>(Unknown)</t>
        </is>
      </c>
    </row>
    <row r="7" ht="40" customHeight="1">
      <c r="A7" s="72" t="inlineStr">
        <is>
          <t>market for resistor, surface-mounted</t>
        </is>
      </c>
      <c r="B7" s="72" t="inlineStr">
        <is>
          <t>shunt resistor 0805</t>
        </is>
      </c>
      <c r="C7" s="73">
        <f>1*5/1000000</f>
        <v/>
      </c>
      <c r="D7" s="73" t="inlineStr">
        <is>
          <t>kilogram</t>
        </is>
      </c>
      <c r="E7" s="73" t="inlineStr">
        <is>
          <t>ecoinvent-391-cutoff</t>
        </is>
      </c>
      <c r="F7" s="73" t="inlineStr">
        <is>
          <t>passive-component</t>
        </is>
      </c>
      <c r="G7" s="73" t="inlineStr">
        <is>
          <t>GLO</t>
        </is>
      </c>
      <c r="H7" s="73" t="inlineStr">
        <is>
          <t>technosphere</t>
        </is>
      </c>
      <c r="I7" s="73" t="n">
        <v>0</v>
      </c>
      <c r="J7" s="73" t="inlineStr">
        <is>
          <t>(Unknown)</t>
        </is>
      </c>
      <c r="K7" s="73" t="inlineStr">
        <is>
          <t>(Unknown)</t>
        </is>
      </c>
      <c r="L7" s="73" t="inlineStr">
        <is>
          <t>(Unknown)</t>
        </is>
      </c>
      <c r="M7" s="73" t="inlineStr">
        <is>
          <t>(Unknown)</t>
        </is>
      </c>
      <c r="N7" s="73" t="inlineStr">
        <is>
          <t>(Unknown)</t>
        </is>
      </c>
    </row>
    <row r="8" ht="40" customHeight="1">
      <c r="A8" s="70" t="inlineStr">
        <is>
          <t>market for capacitor, for surface-mounting</t>
        </is>
      </c>
      <c r="B8" s="70" t="inlineStr">
        <is>
          <t>capacitor 0402 decoupl</t>
        </is>
      </c>
      <c r="C8" s="71">
        <f>3*1.5/1000000</f>
        <v/>
      </c>
      <c r="D8" s="71" t="inlineStr">
        <is>
          <t>kilogram</t>
        </is>
      </c>
      <c r="E8" s="71" t="inlineStr">
        <is>
          <t>ecoinvent-391-cutoff</t>
        </is>
      </c>
      <c r="F8" s="71" t="inlineStr">
        <is>
          <t>passive-component</t>
        </is>
      </c>
      <c r="G8" s="71" t="inlineStr">
        <is>
          <t>GLO</t>
        </is>
      </c>
      <c r="H8" s="71" t="inlineStr">
        <is>
          <t>technosphere</t>
        </is>
      </c>
      <c r="I8" s="71" t="n">
        <v>0</v>
      </c>
      <c r="J8" s="71" t="inlineStr">
        <is>
          <t>(Unknown)</t>
        </is>
      </c>
      <c r="K8" s="71" t="inlineStr">
        <is>
          <t>(Unknown)</t>
        </is>
      </c>
      <c r="L8" s="71" t="inlineStr">
        <is>
          <t>(Unknown)</t>
        </is>
      </c>
      <c r="M8" s="71" t="inlineStr">
        <is>
          <t>(Unknown)</t>
        </is>
      </c>
      <c r="N8" s="71" t="inlineStr">
        <is>
          <t>(Unknown)</t>
        </is>
      </c>
    </row>
    <row r="9" ht="40" customHeight="1">
      <c r="A9" s="72" t="inlineStr">
        <is>
          <t>market for resistor, surface-mounted</t>
        </is>
      </c>
      <c r="B9" s="72" t="inlineStr">
        <is>
          <t>resistor 0402 pullup i2c</t>
        </is>
      </c>
      <c r="C9" s="73">
        <f>2*0.65/1000000</f>
        <v/>
      </c>
      <c r="D9" s="73" t="inlineStr">
        <is>
          <t>kilogram</t>
        </is>
      </c>
      <c r="E9" s="73" t="inlineStr">
        <is>
          <t>ecoinvent-391-cutoff</t>
        </is>
      </c>
      <c r="F9" s="73" t="inlineStr">
        <is>
          <t>passive-component</t>
        </is>
      </c>
      <c r="G9" s="73" t="inlineStr">
        <is>
          <t>GLO</t>
        </is>
      </c>
      <c r="H9" s="73" t="inlineStr">
        <is>
          <t>technosphere</t>
        </is>
      </c>
      <c r="I9" s="73" t="n">
        <v>0</v>
      </c>
      <c r="J9" s="73" t="inlineStr">
        <is>
          <t>(Unknown)</t>
        </is>
      </c>
      <c r="K9" s="73" t="inlineStr">
        <is>
          <t>(Unknown)</t>
        </is>
      </c>
      <c r="L9" s="73" t="inlineStr">
        <is>
          <t>(Unknown)</t>
        </is>
      </c>
      <c r="M9" s="73" t="inlineStr">
        <is>
          <t>(Unknown)</t>
        </is>
      </c>
      <c r="N9" s="73" t="inlineStr">
        <is>
          <t>(Unknown)</t>
        </is>
      </c>
    </row>
    <row r="10" ht="20" customHeight="1">
      <c r="A10" s="70" t="inlineStr">
        <is>
          <t>market for wafer, fabricated, for integrated circuit</t>
        </is>
      </c>
      <c r="H10" s="71" t="inlineStr">
        <is>
          <t>technosphere</t>
        </is>
      </c>
      <c r="I10" s="71" t="n">
        <v>0</v>
      </c>
      <c r="J10" s="71" t="inlineStr">
        <is>
          <t>(Unknown)</t>
        </is>
      </c>
      <c r="K10" s="71" t="inlineStr">
        <is>
          <t>(Unknown)</t>
        </is>
      </c>
      <c r="L10" s="71" t="inlineStr">
        <is>
          <t>(Unknown)</t>
        </is>
      </c>
      <c r="M10" s="71" t="inlineStr">
        <is>
          <t>(Unknown)</t>
        </is>
      </c>
      <c r="N10" s="71" t="inlineStr">
        <is>
          <t>(Unknown)</t>
        </is>
      </c>
    </row>
    <row r="11" ht="40" customHeight="1">
      <c r="A11" s="72" t="inlineStr">
        <is>
          <t>market for liquid crystal display, unmounted</t>
        </is>
      </c>
      <c r="B11" s="72" t="inlineStr">
        <is>
          <t>oled lcd 0.96in</t>
        </is>
      </c>
      <c r="C11" s="73">
        <f>1*45.63/1000</f>
        <v/>
      </c>
      <c r="D11" s="73" t="inlineStr">
        <is>
          <t>kilogram</t>
        </is>
      </c>
      <c r="E11" s="73" t="inlineStr">
        <is>
          <t>ecoinvent-391-cutoff</t>
        </is>
      </c>
      <c r="F11" s="73" t="inlineStr">
        <is>
          <t>peripherial</t>
        </is>
      </c>
      <c r="G11" s="73" t="inlineStr">
        <is>
          <t>GLO</t>
        </is>
      </c>
      <c r="H11" s="73" t="inlineStr">
        <is>
          <t>technosphere</t>
        </is>
      </c>
      <c r="I11" s="73" t="n">
        <v>0</v>
      </c>
      <c r="J11" s="73" t="inlineStr">
        <is>
          <t>(Unknown)</t>
        </is>
      </c>
      <c r="K11" s="73" t="inlineStr">
        <is>
          <t>(Unknown)</t>
        </is>
      </c>
      <c r="L11" s="73" t="inlineStr">
        <is>
          <t>(Unknown)</t>
        </is>
      </c>
      <c r="M11" s="73" t="inlineStr">
        <is>
          <t>(Unknown)</t>
        </is>
      </c>
      <c r="N11" s="73" t="inlineStr">
        <is>
          <t>(Unknown)</t>
        </is>
      </c>
    </row>
    <row r="12" ht="40" customHeight="1">
      <c r="A12" s="70" t="inlineStr">
        <is>
          <t>market for integrated circuit, logic type</t>
        </is>
      </c>
      <c r="B12" s="70" t="inlineStr">
        <is>
          <t>ic ldo ams1117 sot-223</t>
        </is>
      </c>
      <c r="C12" s="71">
        <f>1*38/1000000</f>
        <v/>
      </c>
      <c r="D12" s="71" t="inlineStr">
        <is>
          <t>kilogram</t>
        </is>
      </c>
      <c r="E12" s="71" t="inlineStr">
        <is>
          <t>ecoinvent-391-cutoff</t>
        </is>
      </c>
      <c r="F12" s="71" t="inlineStr">
        <is>
          <t>ic</t>
        </is>
      </c>
      <c r="G12" s="71" t="inlineStr">
        <is>
          <t>GLO</t>
        </is>
      </c>
      <c r="H12" s="71" t="inlineStr">
        <is>
          <t>technosphere</t>
        </is>
      </c>
      <c r="I12" s="71" t="n">
        <v>0</v>
      </c>
      <c r="J12" s="71" t="inlineStr">
        <is>
          <t>(Unknown)</t>
        </is>
      </c>
      <c r="K12" s="71" t="inlineStr">
        <is>
          <t>(Unknown)</t>
        </is>
      </c>
      <c r="L12" s="71" t="inlineStr">
        <is>
          <t>(Unknown)</t>
        </is>
      </c>
      <c r="M12" s="71" t="inlineStr">
        <is>
          <t>(Unknown)</t>
        </is>
      </c>
      <c r="N12" s="71" t="inlineStr">
        <is>
          <t>(Unknown)</t>
        </is>
      </c>
    </row>
    <row r="13" ht="40" customHeight="1">
      <c r="A13" s="72" t="inlineStr">
        <is>
          <t>market for capacitor, for surface-mounting</t>
        </is>
      </c>
      <c r="B13" s="72" t="inlineStr">
        <is>
          <t>capacitor 0402 esp32</t>
        </is>
      </c>
      <c r="C13" s="73">
        <f>4*1.5/1000000</f>
        <v/>
      </c>
      <c r="D13" s="73" t="inlineStr">
        <is>
          <t>kilogram</t>
        </is>
      </c>
      <c r="E13" s="73" t="inlineStr">
        <is>
          <t>ecoinvent-391-cutoff</t>
        </is>
      </c>
      <c r="F13" s="73" t="inlineStr">
        <is>
          <t>passive-component</t>
        </is>
      </c>
      <c r="G13" s="73" t="inlineStr">
        <is>
          <t>GLO</t>
        </is>
      </c>
      <c r="H13" s="73" t="inlineStr">
        <is>
          <t>technosphere</t>
        </is>
      </c>
      <c r="I13" s="73" t="n">
        <v>0</v>
      </c>
      <c r="J13" s="73" t="inlineStr">
        <is>
          <t>(Unknown)</t>
        </is>
      </c>
      <c r="K13" s="73" t="inlineStr">
        <is>
          <t>(Unknown)</t>
        </is>
      </c>
      <c r="L13" s="73" t="inlineStr">
        <is>
          <t>(Unknown)</t>
        </is>
      </c>
      <c r="M13" s="73" t="inlineStr">
        <is>
          <t>(Unknown)</t>
        </is>
      </c>
      <c r="N13" s="73" t="inlineStr">
        <is>
          <t>(Unknown)</t>
        </is>
      </c>
    </row>
    <row r="14" ht="40" customHeight="1">
      <c r="A14" s="70" t="inlineStr">
        <is>
          <t>market for resistor, surface-mounted</t>
        </is>
      </c>
      <c r="B14" s="70" t="inlineStr">
        <is>
          <t>ntc 10k 0402</t>
        </is>
      </c>
      <c r="C14" s="71">
        <f>1*0.65/1000000</f>
        <v/>
      </c>
      <c r="D14" s="71" t="inlineStr">
        <is>
          <t>kilogram</t>
        </is>
      </c>
      <c r="E14" s="71" t="inlineStr">
        <is>
          <t>ecoinvent-391-cutoff</t>
        </is>
      </c>
      <c r="F14" s="71" t="inlineStr">
        <is>
          <t>passive-component</t>
        </is>
      </c>
      <c r="G14" s="71" t="inlineStr">
        <is>
          <t>GLO</t>
        </is>
      </c>
      <c r="H14" s="71" t="inlineStr">
        <is>
          <t>technosphere</t>
        </is>
      </c>
      <c r="I14" s="71" t="n">
        <v>0</v>
      </c>
      <c r="J14" s="71" t="inlineStr">
        <is>
          <t>(Unknown)</t>
        </is>
      </c>
      <c r="K14" s="71" t="inlineStr">
        <is>
          <t>(Unknown)</t>
        </is>
      </c>
      <c r="L14" s="71" t="inlineStr">
        <is>
          <t>(Unknown)</t>
        </is>
      </c>
      <c r="M14" s="71" t="inlineStr">
        <is>
          <t>(Unknown)</t>
        </is>
      </c>
      <c r="N14" s="71" t="inlineStr">
        <is>
          <t>(Unknown)</t>
        </is>
      </c>
    </row>
    <row r="15" ht="20" customHeight="1">
      <c r="A15" s="72" t="inlineStr">
        <is>
          <t>market for resistor, surface-mounted</t>
        </is>
      </c>
      <c r="H15" s="73" t="inlineStr">
        <is>
          <t>technosphere</t>
        </is>
      </c>
      <c r="I15" s="73" t="n">
        <v>0</v>
      </c>
      <c r="J15" s="73" t="inlineStr">
        <is>
          <t>(Unknown)</t>
        </is>
      </c>
      <c r="K15" s="73" t="inlineStr">
        <is>
          <t>(Unknown)</t>
        </is>
      </c>
      <c r="L15" s="73" t="inlineStr">
        <is>
          <t>(Unknown)</t>
        </is>
      </c>
      <c r="M15" s="73" t="inlineStr">
        <is>
          <t>(Unknown)</t>
        </is>
      </c>
      <c r="N15" s="73" t="inlineStr">
        <is>
          <t>(Unknown)</t>
        </is>
      </c>
    </row>
    <row r="16" ht="40" customHeight="1">
      <c r="A16" s="70" t="inlineStr">
        <is>
          <t>market for printed wiring board, for surface mounting, Pb free surface</t>
        </is>
      </c>
      <c r="B16" s="70" t="inlineStr">
        <is>
          <t>pcb controle 2 layers</t>
        </is>
      </c>
      <c r="C16" s="71">
        <f>0.01</f>
        <v/>
      </c>
      <c r="D16" s="71" t="inlineStr">
        <is>
          <t>square meter</t>
        </is>
      </c>
      <c r="E16" s="71" t="inlineStr">
        <is>
          <t>ecoinvent-391-cutoff</t>
        </is>
      </c>
      <c r="F16" s="71" t="inlineStr">
        <is>
          <t>pcb</t>
        </is>
      </c>
      <c r="G16" s="71" t="inlineStr">
        <is>
          <t>GLO</t>
        </is>
      </c>
      <c r="H16" s="71" t="inlineStr">
        <is>
          <t>technosphere</t>
        </is>
      </c>
      <c r="I16" s="71" t="n">
        <v>0</v>
      </c>
      <c r="J16" s="71" t="inlineStr">
        <is>
          <t>(Unknown)</t>
        </is>
      </c>
      <c r="K16" s="71" t="inlineStr">
        <is>
          <t>(Unknown)</t>
        </is>
      </c>
      <c r="L16" s="71" t="inlineStr">
        <is>
          <t>(Unknown)</t>
        </is>
      </c>
      <c r="M16" s="71" t="inlineStr">
        <is>
          <t>(Unknown)</t>
        </is>
      </c>
      <c r="N16" s="71" t="inlineStr">
        <is>
          <t>(Unknown)</t>
        </is>
      </c>
    </row>
    <row r="17" ht="40" customHeight="1">
      <c r="A17" s="72" t="inlineStr">
        <is>
          <t>market for mounting, surface mount technology, Pb-free solder</t>
        </is>
      </c>
      <c r="B17" s="72" t="inlineStr">
        <is>
          <t>pcb mounting controle</t>
        </is>
      </c>
      <c r="C17" s="73">
        <f>0.01</f>
        <v/>
      </c>
      <c r="D17" s="73" t="inlineStr">
        <is>
          <t>square meter</t>
        </is>
      </c>
      <c r="E17" s="73" t="inlineStr">
        <is>
          <t>ecoinvent-391-cutoff</t>
        </is>
      </c>
      <c r="F17" s="73" t="inlineStr">
        <is>
          <t>pcb</t>
        </is>
      </c>
      <c r="G17" s="73" t="inlineStr">
        <is>
          <t>GLO</t>
        </is>
      </c>
      <c r="H17" s="73" t="inlineStr">
        <is>
          <t>technosphere</t>
        </is>
      </c>
      <c r="I17" s="73" t="n">
        <v>0</v>
      </c>
      <c r="J17" s="73" t="inlineStr">
        <is>
          <t>(Unknown)</t>
        </is>
      </c>
      <c r="K17" s="73" t="inlineStr">
        <is>
          <t>(Unknown)</t>
        </is>
      </c>
      <c r="L17" s="73" t="inlineStr">
        <is>
          <t>(Unknown)</t>
        </is>
      </c>
      <c r="M17" s="73" t="inlineStr">
        <is>
          <t>(Unknown)</t>
        </is>
      </c>
      <c r="N17" s="73" t="inlineStr">
        <is>
          <t>(Unknown)</t>
        </is>
      </c>
    </row>
  </sheetData>
  <mergeCells count="6">
    <mergeCell ref="A3:N3"/>
    <mergeCell ref="A1:G1"/>
    <mergeCell ref="A2:G2"/>
    <mergeCell ref="A15:G15"/>
    <mergeCell ref="A10:G10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B5EA7"/>
    <outlinePr summaryBelow="1" summaryRight="1"/>
    <pageSetUpPr/>
  </sheetPr>
  <dimension ref="A1:N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22" customWidth="1" min="2" max="2"/>
    <col width="18" customWidth="1" min="3" max="3"/>
    <col width="14" customWidth="1" min="4" max="4"/>
    <col width="22" customWidth="1" min="5" max="5"/>
    <col width="20" customWidth="1" min="6" max="6"/>
    <col width="10" customWidth="1" min="7" max="7"/>
    <col width="14" customWidth="1" min="8" max="8"/>
    <col width="16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20" customHeight="1">
      <c r="A1" s="59" t="inlineStr">
        <is>
          <t>Activity</t>
        </is>
      </c>
    </row>
    <row r="2" ht="18" customHeight="1">
      <c r="A2" s="65" t="inlineStr">
        <is>
          <t>code</t>
        </is>
      </c>
    </row>
    <row r="3" ht="18" customHeight="1">
      <c r="A3" s="67" t="inlineStr">
        <is>
          <t>Exchanges</t>
        </is>
      </c>
    </row>
    <row r="4" ht="18" customHeight="1">
      <c r="A4" s="59" t="inlineStr">
        <is>
          <t>name</t>
        </is>
      </c>
      <c r="B4" s="59" t="inlineStr">
        <is>
          <t>alt-name</t>
        </is>
      </c>
      <c r="C4" s="59" t="inlineStr">
        <is>
          <t>amount</t>
        </is>
      </c>
      <c r="D4" s="59" t="inlineStr">
        <is>
          <t>unit</t>
        </is>
      </c>
      <c r="E4" s="59" t="inlineStr">
        <is>
          <t>database</t>
        </is>
      </c>
      <c r="F4" s="59" t="inlineStr">
        <is>
          <t>categories</t>
        </is>
      </c>
      <c r="G4" s="59" t="inlineStr">
        <is>
          <t>location</t>
        </is>
      </c>
      <c r="H4" s="59" t="inlineStr">
        <is>
          <t>type</t>
        </is>
      </c>
      <c r="I4" s="59" t="inlineStr">
        <is>
          <t>uncertainty type</t>
        </is>
      </c>
      <c r="J4" s="59" t="inlineStr">
        <is>
          <t>loc</t>
        </is>
      </c>
      <c r="K4" s="59" t="inlineStr">
        <is>
          <t>scale</t>
        </is>
      </c>
      <c r="L4" s="59" t="inlineStr">
        <is>
          <t>shape</t>
        </is>
      </c>
      <c r="M4" s="59" t="inlineStr">
        <is>
          <t>minimum</t>
        </is>
      </c>
      <c r="N4" s="59" t="inlineStr">
        <is>
          <t>maximum</t>
        </is>
      </c>
    </row>
    <row r="5" ht="20" customHeight="1">
      <c r="A5" s="68" t="inlineStr">
        <is>
          <t>PCB et Assemblage production</t>
        </is>
      </c>
      <c r="H5" s="69" t="inlineStr">
        <is>
          <t>production</t>
        </is>
      </c>
      <c r="I5" s="69" t="n">
        <v>0</v>
      </c>
      <c r="J5" s="69" t="inlineStr">
        <is>
          <t>(Unknown)</t>
        </is>
      </c>
      <c r="K5" s="69" t="inlineStr">
        <is>
          <t>(Unknown)</t>
        </is>
      </c>
      <c r="L5" s="69" t="inlineStr">
        <is>
          <t>(Unknown)</t>
        </is>
      </c>
      <c r="M5" s="69" t="inlineStr">
        <is>
          <t>(Unknown)</t>
        </is>
      </c>
      <c r="N5" s="69" t="inlineStr">
        <is>
          <t>(Unknown)</t>
        </is>
      </c>
    </row>
    <row r="6" ht="40" customHeight="1">
      <c r="A6" s="70" t="inlineStr">
        <is>
          <t>market for printed wiring board, for surface mounting, Pb free surface</t>
        </is>
      </c>
      <c r="B6" s="70" t="inlineStr">
        <is>
          <t>pcb chargeur fr4 2 couches</t>
        </is>
      </c>
      <c r="C6" s="71">
        <f>0.01</f>
        <v/>
      </c>
      <c r="D6" s="71" t="inlineStr">
        <is>
          <t>square meter</t>
        </is>
      </c>
      <c r="E6" s="71" t="inlineStr">
        <is>
          <t>ecoinvent-391-cutoff</t>
        </is>
      </c>
      <c r="F6" s="71" t="inlineStr">
        <is>
          <t>pcb</t>
        </is>
      </c>
      <c r="G6" s="71" t="inlineStr">
        <is>
          <t>GLO</t>
        </is>
      </c>
      <c r="H6" s="71" t="inlineStr">
        <is>
          <t>technosphere</t>
        </is>
      </c>
      <c r="I6" s="71" t="n">
        <v>0</v>
      </c>
      <c r="J6" s="71" t="inlineStr">
        <is>
          <t>(Unknown)</t>
        </is>
      </c>
      <c r="K6" s="71" t="inlineStr">
        <is>
          <t>(Unknown)</t>
        </is>
      </c>
      <c r="L6" s="71" t="inlineStr">
        <is>
          <t>(Unknown)</t>
        </is>
      </c>
      <c r="M6" s="71" t="inlineStr">
        <is>
          <t>(Unknown)</t>
        </is>
      </c>
      <c r="N6" s="71" t="inlineStr">
        <is>
          <t>(Unknown)</t>
        </is>
      </c>
    </row>
    <row r="7" ht="40" customHeight="1">
      <c r="A7" s="72" t="inlineStr">
        <is>
          <t>market for printed wiring board, for surface mounting, Pb free surface</t>
        </is>
      </c>
      <c r="B7" s="72" t="inlineStr">
        <is>
          <t>pcb controle fr4 2 couches</t>
        </is>
      </c>
      <c r="C7" s="73">
        <f>0.01</f>
        <v/>
      </c>
      <c r="D7" s="73" t="inlineStr">
        <is>
          <t>square meter</t>
        </is>
      </c>
      <c r="E7" s="73" t="inlineStr">
        <is>
          <t>ecoinvent-391-cutoff</t>
        </is>
      </c>
      <c r="F7" s="73" t="inlineStr">
        <is>
          <t>pcb</t>
        </is>
      </c>
      <c r="G7" s="73" t="inlineStr">
        <is>
          <t>GLO</t>
        </is>
      </c>
      <c r="H7" s="73" t="inlineStr">
        <is>
          <t>technosphere</t>
        </is>
      </c>
      <c r="I7" s="73" t="n">
        <v>0</v>
      </c>
      <c r="J7" s="73" t="inlineStr">
        <is>
          <t>(Unknown)</t>
        </is>
      </c>
      <c r="K7" s="73" t="inlineStr">
        <is>
          <t>(Unknown)</t>
        </is>
      </c>
      <c r="L7" s="73" t="inlineStr">
        <is>
          <t>(Unknown)</t>
        </is>
      </c>
      <c r="M7" s="73" t="inlineStr">
        <is>
          <t>(Unknown)</t>
        </is>
      </c>
      <c r="N7" s="73" t="inlineStr">
        <is>
          <t>(Unknown)</t>
        </is>
      </c>
    </row>
    <row r="8" ht="20" customHeight="1">
      <c r="A8" s="70" t="inlineStr">
        <is>
          <t>market for mounting, surface mount technology, Pb-free solder</t>
        </is>
      </c>
      <c r="H8" s="71" t="inlineStr">
        <is>
          <t>technosphere</t>
        </is>
      </c>
      <c r="I8" s="71" t="n">
        <v>0</v>
      </c>
      <c r="J8" s="71" t="inlineStr">
        <is>
          <t>(Unknown)</t>
        </is>
      </c>
      <c r="K8" s="71" t="inlineStr">
        <is>
          <t>(Unknown)</t>
        </is>
      </c>
      <c r="L8" s="71" t="inlineStr">
        <is>
          <t>(Unknown)</t>
        </is>
      </c>
      <c r="M8" s="71" t="inlineStr">
        <is>
          <t>(Unknown)</t>
        </is>
      </c>
      <c r="N8" s="71" t="inlineStr">
        <is>
          <t>(Unknown)</t>
        </is>
      </c>
    </row>
    <row r="9" ht="40" customHeight="1">
      <c r="A9" s="72" t="inlineStr">
        <is>
          <t>market for mounting, surface mount technology, Pb-free solder</t>
        </is>
      </c>
      <c r="B9" s="72" t="inlineStr">
        <is>
          <t>pate a braser sac305</t>
        </is>
      </c>
      <c r="C9" s="73">
        <f>0.001</f>
        <v/>
      </c>
      <c r="D9" s="73" t="inlineStr">
        <is>
          <t>kilogram</t>
        </is>
      </c>
      <c r="E9" s="73" t="inlineStr">
        <is>
          <t>ecoinvent-391-cutoff</t>
        </is>
      </c>
      <c r="F9" s="73" t="inlineStr">
        <is>
          <t>pcb</t>
        </is>
      </c>
      <c r="G9" s="73" t="inlineStr">
        <is>
          <t>GLO</t>
        </is>
      </c>
      <c r="H9" s="73" t="inlineStr">
        <is>
          <t>technosphere</t>
        </is>
      </c>
      <c r="I9" s="73" t="n">
        <v>0</v>
      </c>
      <c r="J9" s="73" t="inlineStr">
        <is>
          <t>(Unknown)</t>
        </is>
      </c>
      <c r="K9" s="73" t="inlineStr">
        <is>
          <t>(Unknown)</t>
        </is>
      </c>
      <c r="L9" s="73" t="inlineStr">
        <is>
          <t>(Unknown)</t>
        </is>
      </c>
      <c r="M9" s="73" t="inlineStr">
        <is>
          <t>(Unknown)</t>
        </is>
      </c>
      <c r="N9" s="73" t="inlineStr">
        <is>
          <t>(Unknown)</t>
        </is>
      </c>
    </row>
    <row r="10" ht="40" customHeight="1">
      <c r="A10" s="70" t="inlineStr">
        <is>
          <t>market for electric connector, peripheral component interconnect buss</t>
        </is>
      </c>
      <c r="B10" s="70" t="inlineStr">
        <is>
          <t>header 2.54mm 10pin x2</t>
        </is>
      </c>
      <c r="C10" s="71">
        <f>2*712.8/1000000</f>
        <v/>
      </c>
      <c r="D10" s="71" t="inlineStr">
        <is>
          <t>kilogram</t>
        </is>
      </c>
      <c r="E10" s="71" t="inlineStr">
        <is>
          <t>ecoinvent-391-cutoff</t>
        </is>
      </c>
      <c r="F10" s="71" t="inlineStr">
        <is>
          <t>peripherial</t>
        </is>
      </c>
      <c r="G10" s="71" t="inlineStr">
        <is>
          <t>GLO</t>
        </is>
      </c>
      <c r="H10" s="71" t="inlineStr">
        <is>
          <t>technosphere</t>
        </is>
      </c>
      <c r="I10" s="71" t="n">
        <v>0</v>
      </c>
      <c r="J10" s="71" t="inlineStr">
        <is>
          <t>(Unknown)</t>
        </is>
      </c>
      <c r="K10" s="71" t="inlineStr">
        <is>
          <t>(Unknown)</t>
        </is>
      </c>
      <c r="L10" s="71" t="inlineStr">
        <is>
          <t>(Unknown)</t>
        </is>
      </c>
      <c r="M10" s="71" t="inlineStr">
        <is>
          <t>(Unknown)</t>
        </is>
      </c>
      <c r="N10" s="71" t="inlineStr">
        <is>
          <t>(Unknown)</t>
        </is>
      </c>
    </row>
    <row r="11" ht="20" customHeight="1">
      <c r="A11" s="72" t="inlineStr">
        <is>
          <t>market for cable, ribbon cable, 20-pin, with plugs</t>
        </is>
      </c>
      <c r="H11" s="73" t="inlineStr">
        <is>
          <t>technosphere</t>
        </is>
      </c>
      <c r="I11" s="73" t="n">
        <v>0</v>
      </c>
      <c r="J11" s="73" t="inlineStr">
        <is>
          <t>(Unknown)</t>
        </is>
      </c>
      <c r="K11" s="73" t="inlineStr">
        <is>
          <t>(Unknown)</t>
        </is>
      </c>
      <c r="L11" s="73" t="inlineStr">
        <is>
          <t>(Unknown)</t>
        </is>
      </c>
      <c r="M11" s="73" t="inlineStr">
        <is>
          <t>(Unknown)</t>
        </is>
      </c>
      <c r="N11" s="73" t="inlineStr">
        <is>
          <t>(Unknown)</t>
        </is>
      </c>
    </row>
    <row r="12" ht="40" customHeight="1"/>
    <row r="13" ht="40" customHeight="1"/>
  </sheetData>
  <mergeCells count="6">
    <mergeCell ref="A3:N3"/>
    <mergeCell ref="A1:G1"/>
    <mergeCell ref="A8:G8"/>
    <mergeCell ref="A2:G2"/>
    <mergeCell ref="A11:G11"/>
    <mergeCell ref="A5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N3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2" customWidth="1" min="1" max="1"/>
    <col width="22" customWidth="1" min="2" max="2"/>
    <col width="12" customWidth="1" min="3" max="3"/>
    <col width="12" customWidth="1" min="4" max="4"/>
    <col width="22" customWidth="1" min="5" max="5"/>
    <col width="14" customWidth="1" min="6" max="6"/>
    <col width="10" customWidth="1" min="7" max="7"/>
    <col width="14" customWidth="1" min="8" max="8"/>
    <col width="16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28" customHeight="1">
      <c r="A1" s="59" t="inlineStr">
        <is>
          <t>Activity</t>
        </is>
      </c>
    </row>
    <row r="2" ht="18" customHeight="1">
      <c r="A2" s="65" t="inlineStr">
        <is>
          <t>code</t>
        </is>
      </c>
    </row>
    <row r="3" ht="10" customHeight="1">
      <c r="A3" s="67" t="inlineStr">
        <is>
          <t>Exchanges</t>
        </is>
      </c>
    </row>
    <row r="4" ht="22" customHeight="1">
      <c r="A4" s="59" t="inlineStr">
        <is>
          <t>name</t>
        </is>
      </c>
      <c r="F4" s="59" t="inlineStr">
        <is>
          <t>categories</t>
        </is>
      </c>
      <c r="G4" s="59" t="inlineStr">
        <is>
          <t>location</t>
        </is>
      </c>
      <c r="H4" s="59" t="inlineStr">
        <is>
          <t>type</t>
        </is>
      </c>
      <c r="I4" s="59" t="inlineStr">
        <is>
          <t>uncertainty type</t>
        </is>
      </c>
      <c r="J4" s="59" t="inlineStr">
        <is>
          <t>loc</t>
        </is>
      </c>
      <c r="K4" s="59" t="inlineStr">
        <is>
          <t>scale</t>
        </is>
      </c>
      <c r="L4" s="59" t="inlineStr">
        <is>
          <t>shape</t>
        </is>
      </c>
      <c r="M4" s="59" t="inlineStr">
        <is>
          <t>minimum</t>
        </is>
      </c>
      <c r="N4" s="59" t="inlineStr">
        <is>
          <t>maximum</t>
        </is>
      </c>
    </row>
    <row r="5" ht="18" customHeight="1">
      <c r="A5" s="68" t="inlineStr">
        <is>
          <t>Chargeur de Batteries Li-ion/LiPo</t>
        </is>
      </c>
      <c r="F5" s="69" t="inlineStr"/>
      <c r="G5" s="69" t="inlineStr">
        <is>
          <t>France</t>
        </is>
      </c>
      <c r="H5" s="69" t="inlineStr">
        <is>
          <t>production</t>
        </is>
      </c>
      <c r="I5" s="69" t="n">
        <v>0</v>
      </c>
      <c r="J5" s="69" t="inlineStr">
        <is>
          <t>(Unknown)</t>
        </is>
      </c>
      <c r="K5" s="69" t="inlineStr">
        <is>
          <t>(Unknown)</t>
        </is>
      </c>
      <c r="L5" s="69" t="inlineStr">
        <is>
          <t>(Unknown)</t>
        </is>
      </c>
      <c r="M5" s="69" t="inlineStr">
        <is>
          <t>(Unknown)</t>
        </is>
      </c>
      <c r="N5" s="69" t="inlineStr">
        <is>
          <t>(Unknown)</t>
        </is>
      </c>
    </row>
    <row r="6" ht="18" customHeight="1">
      <c r="F6" s="73" t="inlineStr"/>
      <c r="G6" s="73" t="inlineStr">
        <is>
          <t>GLO</t>
        </is>
      </c>
      <c r="H6" s="73" t="inlineStr">
        <is>
          <t>technosphere</t>
        </is>
      </c>
      <c r="I6" s="73" t="n">
        <v>0</v>
      </c>
      <c r="J6" s="73" t="inlineStr">
        <is>
          <t>(Unknown)</t>
        </is>
      </c>
      <c r="K6" s="73" t="inlineStr">
        <is>
          <t>(Unknown)</t>
        </is>
      </c>
      <c r="L6" s="73" t="inlineStr">
        <is>
          <t>(Unknown)</t>
        </is>
      </c>
      <c r="M6" s="73" t="inlineStr">
        <is>
          <t>(Unknown)</t>
        </is>
      </c>
      <c r="N6" s="73" t="inlineStr">
        <is>
          <t>(Unknown)</t>
        </is>
      </c>
    </row>
    <row r="7" ht="18" customHeight="1">
      <c r="F7" s="71" t="inlineStr"/>
      <c r="G7" s="71" t="inlineStr">
        <is>
          <t>GLO</t>
        </is>
      </c>
      <c r="H7" s="71" t="inlineStr">
        <is>
          <t>technosphere</t>
        </is>
      </c>
      <c r="I7" s="71" t="n">
        <v>0</v>
      </c>
      <c r="J7" s="71" t="inlineStr">
        <is>
          <t>(Unknown)</t>
        </is>
      </c>
      <c r="K7" s="71" t="inlineStr">
        <is>
          <t>(Unknown)</t>
        </is>
      </c>
      <c r="L7" s="71" t="inlineStr">
        <is>
          <t>(Unknown)</t>
        </is>
      </c>
      <c r="M7" s="71" t="inlineStr">
        <is>
          <t>(Unknown)</t>
        </is>
      </c>
      <c r="N7" s="71" t="inlineStr">
        <is>
          <t>(Unknown)</t>
        </is>
      </c>
    </row>
    <row r="8" ht="10" customHeight="1">
      <c r="A8" s="72" t="inlineStr">
        <is>
          <t>PCB et Assemblage production</t>
        </is>
      </c>
      <c r="B8" s="72" t="inlineStr"/>
      <c r="C8" s="73" t="n">
        <v>1</v>
      </c>
      <c r="D8" s="73" t="inlineStr">
        <is>
          <t>unit</t>
        </is>
      </c>
      <c r="E8" s="73" t="inlineStr">
        <is>
          <t>ESOS-Formation</t>
        </is>
      </c>
      <c r="F8" s="73" t="inlineStr"/>
      <c r="G8" s="73" t="inlineStr">
        <is>
          <t>GLO</t>
        </is>
      </c>
      <c r="H8" s="73" t="inlineStr">
        <is>
          <t>technosphere</t>
        </is>
      </c>
      <c r="I8" s="73" t="n">
        <v>0</v>
      </c>
      <c r="J8" s="73" t="inlineStr">
        <is>
          <t>(Unknown)</t>
        </is>
      </c>
      <c r="K8" s="73" t="inlineStr">
        <is>
          <t>(Unknown)</t>
        </is>
      </c>
      <c r="L8" s="73" t="inlineStr">
        <is>
          <t>(Unknown)</t>
        </is>
      </c>
      <c r="M8" s="73" t="inlineStr">
        <is>
          <t>(Unknown)</t>
        </is>
      </c>
      <c r="N8" s="73" t="inlineStr">
        <is>
          <t>(Unknown)</t>
        </is>
      </c>
    </row>
    <row r="9" ht="28" customHeight="1"/>
    <row r="10" ht="22" customHeight="1"/>
    <row r="11" ht="22" customHeight="1"/>
    <row r="12" ht="22" customHeight="1"/>
    <row r="13" ht="22" customHeight="1"/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/>
    <row r="33"/>
    <row r="34" ht="20" customHeight="1"/>
    <row r="35" ht="18" customHeight="1"/>
    <row r="36" ht="18" customHeight="1"/>
    <row r="37" ht="18" customHeight="1"/>
  </sheetData>
  <mergeCells count="9">
    <mergeCell ref="A34:E34"/>
    <mergeCell ref="A4:E4"/>
    <mergeCell ref="A3:N3"/>
    <mergeCell ref="B35:E35"/>
    <mergeCell ref="A2:E2"/>
    <mergeCell ref="A5:E7"/>
    <mergeCell ref="A1:E1"/>
    <mergeCell ref="B37:E37"/>
    <mergeCell ref="B36:E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2026-04-21T18:22:25Z</dcterms:created>
  <dcterms:modified xmlns:dcterms="http://purl.org/dc/terms/" xmlns:xsi="http://www.w3.org/2001/XMLSchema-instance" xsi:type="dcterms:W3CDTF">2026-04-22T12:43:16Z</dcterms:modified>
</cp:coreProperties>
</file>