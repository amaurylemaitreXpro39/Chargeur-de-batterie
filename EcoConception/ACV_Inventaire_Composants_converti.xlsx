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ur\Documents\chargeur de batterie\EcoConception\"/>
    </mc:Choice>
  </mc:AlternateContent>
  <xr:revisionPtr revIDLastSave="0" documentId="13_ncr:1_{65044762-91AB-4B99-A18A-4671C1A0ED3D}" xr6:coauthVersionLast="47" xr6:coauthVersionMax="47" xr10:uidLastSave="{00000000-0000-0000-0000-000000000000}"/>
  <bookViews>
    <workbookView xWindow="1140" yWindow="1140" windowWidth="19200" windowHeight="10900" xr2:uid="{00000000-000D-0000-FFFF-FFFF00000000}"/>
  </bookViews>
  <sheets>
    <sheet name="Carte Chargeur" sheetId="1" r:id="rId1"/>
    <sheet name="Carte Contrôle &amp; Mesure" sheetId="2" r:id="rId2"/>
    <sheet name="PCB &amp; Assemblage" sheetId="3" r:id="rId3"/>
    <sheet name="Synthè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8" i="3"/>
  <c r="C7" i="3"/>
  <c r="C6" i="3"/>
  <c r="C17" i="2"/>
  <c r="C16" i="2"/>
  <c r="C15" i="2"/>
  <c r="C14" i="2"/>
  <c r="C13" i="2"/>
  <c r="C12" i="2"/>
  <c r="C11" i="2"/>
  <c r="C10" i="2"/>
  <c r="C9" i="2"/>
  <c r="C8" i="2"/>
  <c r="C7" i="2"/>
  <c r="C6" i="2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<sst xmlns="http://schemas.openxmlformats.org/spreadsheetml/2006/main" count="555" uniqueCount="85">
  <si>
    <t>Activity</t>
  </si>
  <si>
    <t>Carte Chargeur production</t>
  </si>
  <si>
    <t>code</t>
  </si>
  <si>
    <t>Carte-Chargeur</t>
  </si>
  <si>
    <t>Exchanges</t>
  </si>
  <si>
    <t>name</t>
  </si>
  <si>
    <t>alt-name</t>
  </si>
  <si>
    <t>amount</t>
  </si>
  <si>
    <t>unit</t>
  </si>
  <si>
    <t>database</t>
  </si>
  <si>
    <t>categories</t>
  </si>
  <si>
    <t>location</t>
  </si>
  <si>
    <t>type</t>
  </si>
  <si>
    <t>uncertainty type</t>
  </si>
  <si>
    <t>loc</t>
  </si>
  <si>
    <t>scale</t>
  </si>
  <si>
    <t>shape</t>
  </si>
  <si>
    <t>minimum</t>
  </si>
  <si>
    <t>maximum</t>
  </si>
  <si>
    <t>ESOS-Formation</t>
  </si>
  <si>
    <t>France</t>
  </si>
  <si>
    <t>production</t>
  </si>
  <si>
    <t>(Unknown)</t>
  </si>
  <si>
    <t>market for integrated circuit, logic type</t>
  </si>
  <si>
    <t>ic cn3765 sop-8</t>
  </si>
  <si>
    <t>kilogram</t>
  </si>
  <si>
    <t>ecoinvent-391-cutoff</t>
  </si>
  <si>
    <t>ic</t>
  </si>
  <si>
    <t>GLO</t>
  </si>
  <si>
    <t>technosphere</t>
  </si>
  <si>
    <t>market for inductor, low value multilayer chip</t>
  </si>
  <si>
    <t>inductor 10uH cms</t>
  </si>
  <si>
    <t>passive-component</t>
  </si>
  <si>
    <t>market for capacitor, for surface-mounting</t>
  </si>
  <si>
    <t>capacitor 0402 10uF in</t>
  </si>
  <si>
    <t>capacitor 0402 22uF out</t>
  </si>
  <si>
    <t>market for resistor, surface-mounted</t>
  </si>
  <si>
    <t>resistor 0402 prog</t>
  </si>
  <si>
    <t>market for diode, glass-, for surface-mounting</t>
  </si>
  <si>
    <t>diode schottky sod-123</t>
  </si>
  <si>
    <t>ic ldo buck sot-23</t>
  </si>
  <si>
    <t>market for electric connector, peripheral type buss</t>
  </si>
  <si>
    <t>usb type-c</t>
  </si>
  <si>
    <t>peripherial</t>
  </si>
  <si>
    <t>capacitor 0402 decoupl</t>
  </si>
  <si>
    <t>ic bms 1s sop-8</t>
  </si>
  <si>
    <t>market for transistor, surface-mounted</t>
  </si>
  <si>
    <t>mosfet n sot-23 charge</t>
  </si>
  <si>
    <t>mosfet n sot-23 disch</t>
  </si>
  <si>
    <t>shunt resistor 2512</t>
  </si>
  <si>
    <t>market for electric connector, peripheral component interconnect buss</t>
  </si>
  <si>
    <t>jst ph 2.0mm</t>
  </si>
  <si>
    <t>market for printed wiring board, for surface mounting, Pb free surface</t>
  </si>
  <si>
    <t>pcb chargeur 2 layers</t>
  </si>
  <si>
    <t>square meter</t>
  </si>
  <si>
    <t>pcb</t>
  </si>
  <si>
    <t>market for mounting, surface mount technology, Pb-free solder</t>
  </si>
  <si>
    <t>pcb mounting chargeur</t>
  </si>
  <si>
    <t>Carte Contrôle &amp; Mesure production</t>
  </si>
  <si>
    <t>Carte-Controle-Mesure</t>
  </si>
  <si>
    <t>ic max17055 wlp</t>
  </si>
  <si>
    <t>shunt resistor 0805</t>
  </si>
  <si>
    <t>resistor 0402 pullup i2c</t>
  </si>
  <si>
    <t>market for wafer, fabricated, for integrated circuit</t>
  </si>
  <si>
    <t>esp32 module</t>
  </si>
  <si>
    <t>market for liquid crystal display, unmounted</t>
  </si>
  <si>
    <t>oled lcd 0.96in</t>
  </si>
  <si>
    <t>ic ldo ams1117 sot-223</t>
  </si>
  <si>
    <t>capacitor 0402 esp32</t>
  </si>
  <si>
    <t>ntc 10k 0402</t>
  </si>
  <si>
    <t>resistor 0402 divider</t>
  </si>
  <si>
    <t>pcb controle 2 layers</t>
  </si>
  <si>
    <t>pcb mounting controle</t>
  </si>
  <si>
    <t>PCB et Assemblage production</t>
  </si>
  <si>
    <t>PCB-Assemblage</t>
  </si>
  <si>
    <t>pcb chargeur fr4 2 couches</t>
  </si>
  <si>
    <t>pcb controle fr4 2 couches</t>
  </si>
  <si>
    <t>brasure sac305 refusion</t>
  </si>
  <si>
    <t>pate a braser sac305</t>
  </si>
  <si>
    <t>header 2.54mm 10pin x2</t>
  </si>
  <si>
    <t>market for cable, ribbon cable, 20-pin, with plugs</t>
  </si>
  <si>
    <t>nappe 10 conducteurs</t>
  </si>
  <si>
    <t>Chargeur de Batteries Li-ion/LiPo</t>
  </si>
  <si>
    <t>Chargeur-Batteries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</si>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</sst>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N42"/>
  <sheetViews>
    <sheetView tabSelected="1" workbookViewId="0">
      <pane ySplit="4" topLeftCell="A34" activePane="bottomLeft" state="frozen"/>
      <selection pane="bottomLeft" activeCell="A42" sqref="A42"/>
    </sheetView>
  </sheetViews>
  <sheetFormatPr baseColWidth="10" defaultColWidth="8.7265625" defaultRowHeight="14.5" x14ac:dyDescent="0.35"/>
  <cols>
    <col min="1" max="1" width="52" customWidth="1"/>
    <col min="2" max="2" width="22" customWidth="1"/>
    <col min="3" max="3" width="18" customWidth="1"/>
    <col min="4" max="4" width="14" customWidth="1"/>
    <col min="5" max="5" width="22" customWidth="1"/>
    <col min="6" max="6" width="20" customWidth="1"/>
    <col min="7" max="7" width="10" customWidth="1"/>
    <col min="8" max="8" width="14" customWidth="1"/>
    <col min="9" max="9" width="16" customWidth="1"/>
    <col min="10" max="14" width="10" customWidth="1"/>
  </cols>
  <sheetData>
    <row r="1" spans="1:14" ht="20" customHeight="1" x14ac:dyDescent="0.35">
      <c r="A1" s="9" t="s">
        <v>0</v>
      </c>
      <c r="B1" s="10" t="s">
        <v>1</v>
      </c>
      <c r="C1" s="8"/>
      <c r="D1" s="8"/>
      <c r="E1" s="8"/>
      <c r="F1" s="8"/>
      <c r="G1" s="8"/>
    </row>
    <row r="2" spans="1:14" ht="18" customHeight="1" x14ac:dyDescent="0.35">
      <c r="A2" s="13" t="s">
        <v>2</v>
      </c>
      <c r="B2" s="14" t="s">
        <v>3</v>
      </c>
      <c r="C2" s="8"/>
      <c r="D2" s="8"/>
      <c r="E2" s="8"/>
      <c r="F2" s="8"/>
      <c r="G2" s="8"/>
    </row>
    <row r="3" spans="1:14" ht="18" customHeight="1" x14ac:dyDescent="0.35">
      <c r="A3" s="7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</row>
    <row r="5" spans="1:14" ht="20" customHeight="1" x14ac:dyDescent="0.35">
      <c r="A5" s="15" t="s">
        <v>1</v>
      </c>
      <c r="B5" s="16"/>
      <c r="C5" s="16">
        <v>1</v>
      </c>
      <c r="D5" s="16" t="s">
        <v>8</v>
      </c>
      <c r="E5" s="16" t="s">
        <v>19</v>
      </c>
      <c r="F5" s="16"/>
      <c r="G5" s="16" t="s">
        <v>20</v>
      </c>
      <c r="H5" s="2" t="s">
        <v>21</v>
      </c>
      <c r="I5" s="2">
        <v>0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 spans="1:14" ht="40" customHeight="1" x14ac:dyDescent="0.35">
      <c r="A6" s="3" t="s">
        <v>23</v>
      </c>
      <c r="B6" s="3" t="s">
        <v>24</v>
      </c>
      <c r="C6" s="4">
        <f>1*54/1000000</f>
        <v>5.3999999999999998E-5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>
        <v>0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</row>
    <row r="7" spans="1:14" ht="40" customHeight="1" x14ac:dyDescent="0.35">
      <c r="A7" s="5" t="s">
        <v>30</v>
      </c>
      <c r="B7" s="5" t="s">
        <v>31</v>
      </c>
      <c r="C7" s="6">
        <f>1*50/1000000</f>
        <v>5.0000000000000002E-5</v>
      </c>
      <c r="D7" s="6" t="s">
        <v>25</v>
      </c>
      <c r="E7" s="6" t="s">
        <v>26</v>
      </c>
      <c r="F7" s="6" t="s">
        <v>32</v>
      </c>
      <c r="G7" s="6" t="s">
        <v>28</v>
      </c>
      <c r="H7" s="6" t="s">
        <v>29</v>
      </c>
      <c r="I7" s="6">
        <v>0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</row>
    <row r="8" spans="1:14" ht="40" customHeight="1" x14ac:dyDescent="0.35">
      <c r="A8" s="3" t="s">
        <v>33</v>
      </c>
      <c r="B8" s="3" t="s">
        <v>34</v>
      </c>
      <c r="C8" s="4">
        <f>2*1.5/1000000</f>
        <v>3.0000000000000001E-6</v>
      </c>
      <c r="D8" s="4" t="s">
        <v>25</v>
      </c>
      <c r="E8" s="4" t="s">
        <v>26</v>
      </c>
      <c r="F8" s="4" t="s">
        <v>32</v>
      </c>
      <c r="G8" s="4" t="s">
        <v>28</v>
      </c>
      <c r="H8" s="4" t="s">
        <v>29</v>
      </c>
      <c r="I8" s="4">
        <v>0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</row>
    <row r="9" spans="1:14" ht="40" customHeight="1" x14ac:dyDescent="0.35">
      <c r="A9" s="5" t="s">
        <v>33</v>
      </c>
      <c r="B9" s="5" t="s">
        <v>35</v>
      </c>
      <c r="C9" s="6">
        <f>2*1.5/1000000</f>
        <v>3.0000000000000001E-6</v>
      </c>
      <c r="D9" s="6" t="s">
        <v>25</v>
      </c>
      <c r="E9" s="6" t="s">
        <v>26</v>
      </c>
      <c r="F9" s="6" t="s">
        <v>32</v>
      </c>
      <c r="G9" s="6" t="s">
        <v>28</v>
      </c>
      <c r="H9" s="6" t="s">
        <v>29</v>
      </c>
      <c r="I9" s="6">
        <v>0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</row>
    <row r="10" spans="1:14" ht="40" customHeight="1" x14ac:dyDescent="0.35">
      <c r="A10" s="3" t="s">
        <v>36</v>
      </c>
      <c r="B10" s="3" t="s">
        <v>37</v>
      </c>
      <c r="C10" s="4">
        <f>4*0.65/1000000</f>
        <v>2.6000000000000001E-6</v>
      </c>
      <c r="D10" s="4" t="s">
        <v>25</v>
      </c>
      <c r="E10" s="4" t="s">
        <v>26</v>
      </c>
      <c r="F10" s="4" t="s">
        <v>32</v>
      </c>
      <c r="G10" s="4" t="s">
        <v>28</v>
      </c>
      <c r="H10" s="4" t="s">
        <v>29</v>
      </c>
      <c r="I10" s="4">
        <v>0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</row>
    <row r="11" spans="1:14" ht="40" customHeight="1" x14ac:dyDescent="0.35">
      <c r="A11" s="5" t="s">
        <v>38</v>
      </c>
      <c r="B11" s="5" t="s">
        <v>39</v>
      </c>
      <c r="C11" s="6">
        <f>1*33/1000000</f>
        <v>3.3000000000000003E-5</v>
      </c>
      <c r="D11" s="6" t="s">
        <v>25</v>
      </c>
      <c r="E11" s="6" t="s">
        <v>26</v>
      </c>
      <c r="F11" s="6" t="s">
        <v>32</v>
      </c>
      <c r="G11" s="6" t="s">
        <v>28</v>
      </c>
      <c r="H11" s="6" t="s">
        <v>29</v>
      </c>
      <c r="I11" s="6">
        <v>0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</row>
    <row r="12" spans="1:14" ht="20" customHeight="1" x14ac:dyDescent="0.35">
      <c r="A12" s="11" t="s">
        <v>23</v>
      </c>
      <c r="B12" s="11" t="s">
        <v>40</v>
      </c>
      <c r="C12" s="12">
        <f>1*38/1000000</f>
        <v>3.8000000000000002E-5</v>
      </c>
      <c r="D12" s="12" t="s">
        <v>25</v>
      </c>
      <c r="E12" s="12" t="s">
        <v>26</v>
      </c>
      <c r="F12" s="12" t="s">
        <v>27</v>
      </c>
      <c r="G12" s="12" t="s">
        <v>28</v>
      </c>
      <c r="H12" s="4" t="s">
        <v>29</v>
      </c>
      <c r="I12" s="4">
        <v>0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</row>
    <row r="13" spans="1:14" ht="40" customHeight="1" x14ac:dyDescent="0.35">
      <c r="A13" s="5" t="s">
        <v>41</v>
      </c>
      <c r="B13" s="5" t="s">
        <v>42</v>
      </c>
      <c r="C13" s="6">
        <f>1*1.124/1000</f>
        <v>1.1240000000000002E-3</v>
      </c>
      <c r="D13" s="6" t="s">
        <v>25</v>
      </c>
      <c r="E13" s="6" t="s">
        <v>26</v>
      </c>
      <c r="F13" s="6" t="s">
        <v>43</v>
      </c>
      <c r="G13" s="6" t="s">
        <v>28</v>
      </c>
      <c r="H13" s="6" t="s">
        <v>29</v>
      </c>
      <c r="I13" s="6">
        <v>0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</row>
    <row r="14" spans="1:14" ht="40" customHeight="1" x14ac:dyDescent="0.35">
      <c r="A14" s="3" t="s">
        <v>33</v>
      </c>
      <c r="B14" s="3" t="s">
        <v>44</v>
      </c>
      <c r="C14" s="4">
        <f>2*1.5/1000000</f>
        <v>3.0000000000000001E-6</v>
      </c>
      <c r="D14" s="4" t="s">
        <v>25</v>
      </c>
      <c r="E14" s="4" t="s">
        <v>26</v>
      </c>
      <c r="F14" s="4" t="s">
        <v>32</v>
      </c>
      <c r="G14" s="4" t="s">
        <v>28</v>
      </c>
      <c r="H14" s="4" t="s">
        <v>29</v>
      </c>
      <c r="I14" s="4">
        <v>0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</row>
    <row r="15" spans="1:14" ht="40" customHeight="1" x14ac:dyDescent="0.35">
      <c r="A15" s="5" t="s">
        <v>23</v>
      </c>
      <c r="B15" s="5" t="s">
        <v>45</v>
      </c>
      <c r="C15" s="6">
        <f>1*54/1000000</f>
        <v>5.3999999999999998E-5</v>
      </c>
      <c r="D15" s="6" t="s">
        <v>25</v>
      </c>
      <c r="E15" s="6" t="s">
        <v>26</v>
      </c>
      <c r="F15" s="6" t="s">
        <v>27</v>
      </c>
      <c r="G15" s="6" t="s">
        <v>28</v>
      </c>
      <c r="H15" s="6" t="s">
        <v>29</v>
      </c>
      <c r="I15" s="6">
        <v>0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</row>
    <row r="16" spans="1:14" ht="20" customHeight="1" x14ac:dyDescent="0.35">
      <c r="A16" s="11" t="s">
        <v>46</v>
      </c>
      <c r="B16" s="11" t="s">
        <v>47</v>
      </c>
      <c r="C16" s="12">
        <f>1*8/1000000</f>
        <v>7.9999999999999996E-6</v>
      </c>
      <c r="D16" s="12" t="s">
        <v>25</v>
      </c>
      <c r="E16" s="12" t="s">
        <v>26</v>
      </c>
      <c r="F16" s="12" t="s">
        <v>32</v>
      </c>
      <c r="G16" s="12" t="s">
        <v>28</v>
      </c>
      <c r="H16" s="4" t="s">
        <v>29</v>
      </c>
      <c r="I16" s="4">
        <v>0</v>
      </c>
      <c r="J16" s="4" t="s">
        <v>22</v>
      </c>
      <c r="K16" s="4" t="s">
        <v>22</v>
      </c>
      <c r="L16" s="4" t="s">
        <v>22</v>
      </c>
      <c r="M16" s="4" t="s">
        <v>22</v>
      </c>
      <c r="N16" s="4" t="s">
        <v>22</v>
      </c>
    </row>
    <row r="17" spans="1:14" ht="40" customHeight="1" x14ac:dyDescent="0.35">
      <c r="A17" s="5" t="s">
        <v>46</v>
      </c>
      <c r="B17" s="5" t="s">
        <v>48</v>
      </c>
      <c r="C17" s="6">
        <f>1*8/1000000</f>
        <v>7.9999999999999996E-6</v>
      </c>
      <c r="D17" s="6" t="s">
        <v>25</v>
      </c>
      <c r="E17" s="6" t="s">
        <v>26</v>
      </c>
      <c r="F17" s="6" t="s">
        <v>32</v>
      </c>
      <c r="G17" s="6" t="s">
        <v>28</v>
      </c>
      <c r="H17" s="6" t="s">
        <v>29</v>
      </c>
      <c r="I17" s="6">
        <v>0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</row>
    <row r="18" spans="1:14" ht="40" customHeight="1" x14ac:dyDescent="0.35">
      <c r="A18" s="3" t="s">
        <v>36</v>
      </c>
      <c r="B18" s="3" t="s">
        <v>49</v>
      </c>
      <c r="C18" s="4">
        <f>1*50/1000000</f>
        <v>5.0000000000000002E-5</v>
      </c>
      <c r="D18" s="4" t="s">
        <v>25</v>
      </c>
      <c r="E18" s="4" t="s">
        <v>26</v>
      </c>
      <c r="F18" s="4" t="s">
        <v>32</v>
      </c>
      <c r="G18" s="4" t="s">
        <v>28</v>
      </c>
      <c r="H18" s="4" t="s">
        <v>29</v>
      </c>
      <c r="I18" s="4">
        <v>0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22</v>
      </c>
    </row>
    <row r="19" spans="1:14" ht="40" customHeight="1" x14ac:dyDescent="0.35">
      <c r="A19" s="5" t="s">
        <v>50</v>
      </c>
      <c r="B19" s="5" t="s">
        <v>51</v>
      </c>
      <c r="C19" s="6">
        <f>1*0.5/1000</f>
        <v>5.0000000000000001E-4</v>
      </c>
      <c r="D19" s="6" t="s">
        <v>25</v>
      </c>
      <c r="E19" s="6" t="s">
        <v>26</v>
      </c>
      <c r="F19" s="6" t="s">
        <v>43</v>
      </c>
      <c r="G19" s="6" t="s">
        <v>28</v>
      </c>
      <c r="H19" s="6" t="s">
        <v>29</v>
      </c>
      <c r="I19" s="6">
        <v>0</v>
      </c>
      <c r="J19" s="6" t="s">
        <v>22</v>
      </c>
      <c r="K19" s="6" t="s">
        <v>22</v>
      </c>
      <c r="L19" s="6" t="s">
        <v>22</v>
      </c>
      <c r="M19" s="6" t="s">
        <v>22</v>
      </c>
      <c r="N19" s="6" t="s">
        <v>22</v>
      </c>
    </row>
    <row r="20" spans="1:14" ht="40" customHeight="1" x14ac:dyDescent="0.35">
      <c r="A20" s="3" t="s">
        <v>52</v>
      </c>
      <c r="B20" s="3" t="s">
        <v>53</v>
      </c>
      <c r="C20" s="4">
        <f>0.01</f>
        <v>0.01</v>
      </c>
      <c r="D20" s="4" t="s">
        <v>54</v>
      </c>
      <c r="E20" s="4" t="s">
        <v>26</v>
      </c>
      <c r="F20" s="4" t="s">
        <v>55</v>
      </c>
      <c r="G20" s="4" t="s">
        <v>28</v>
      </c>
      <c r="H20" s="4" t="s">
        <v>29</v>
      </c>
      <c r="I20" s="4">
        <v>0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</row>
    <row r="21" spans="1:14" ht="40" customHeight="1" x14ac:dyDescent="0.35">
      <c r="A21" s="5" t="s">
        <v>56</v>
      </c>
      <c r="B21" s="5" t="s">
        <v>57</v>
      </c>
      <c r="C21" s="6">
        <f>0.01</f>
        <v>0.01</v>
      </c>
      <c r="D21" s="6" t="s">
        <v>54</v>
      </c>
      <c r="E21" s="6" t="s">
        <v>26</v>
      </c>
      <c r="F21" s="6" t="s">
        <v>55</v>
      </c>
      <c r="G21" s="6" t="s">
        <v>28</v>
      </c>
      <c r="H21" s="6" t="s">
        <v>29</v>
      </c>
      <c r="I21" s="6">
        <v>0</v>
      </c>
      <c r="J21" s="6" t="s">
        <v>22</v>
      </c>
      <c r="K21" s="6" t="s">
        <v>22</v>
      </c>
      <c r="L21" s="6" t="s">
        <v>22</v>
      </c>
      <c r="M21" s="6" t="s">
        <v>22</v>
      </c>
      <c r="N21" s="6" t="s">
        <v>22</v>
      </c>
    </row>
    <row r="42" spans="1:1" x14ac:dyDescent="0.35">
      <c r="A42" t="s">
        <v>84</v>
      </c>
    </row>
  </sheetData>
  <mergeCells count="6">
    <mergeCell ref="A3:N3"/>
    <mergeCell ref="A1:G1"/>
    <mergeCell ref="A12:G12"/>
    <mergeCell ref="A16:G16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N17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52" customWidth="1"/>
    <col min="2" max="2" width="22" customWidth="1"/>
    <col min="3" max="3" width="18" customWidth="1"/>
    <col min="4" max="4" width="14" customWidth="1"/>
    <col min="5" max="5" width="22" customWidth="1"/>
    <col min="6" max="6" width="20" customWidth="1"/>
    <col min="7" max="7" width="10" customWidth="1"/>
    <col min="8" max="8" width="14" customWidth="1"/>
    <col min="9" max="9" width="16" customWidth="1"/>
    <col min="10" max="14" width="10" customWidth="1"/>
  </cols>
  <sheetData>
    <row r="1" spans="1:14" ht="20" customHeight="1" x14ac:dyDescent="0.35">
      <c r="A1" s="9" t="s">
        <v>0</v>
      </c>
      <c r="B1" s="10" t="s">
        <v>58</v>
      </c>
      <c r="C1" s="8"/>
      <c r="D1" s="8"/>
      <c r="E1" s="8"/>
      <c r="F1" s="8"/>
      <c r="G1" s="8"/>
    </row>
    <row r="2" spans="1:14" ht="18" customHeight="1" x14ac:dyDescent="0.35">
      <c r="A2" s="13" t="s">
        <v>2</v>
      </c>
      <c r="B2" s="14" t="s">
        <v>59</v>
      </c>
      <c r="C2" s="8"/>
      <c r="D2" s="8"/>
      <c r="E2" s="8"/>
      <c r="F2" s="8"/>
      <c r="G2" s="8"/>
    </row>
    <row r="3" spans="1:14" ht="18" customHeight="1" x14ac:dyDescent="0.35">
      <c r="A3" s="7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</row>
    <row r="5" spans="1:14" ht="20" customHeight="1" x14ac:dyDescent="0.35">
      <c r="A5" s="15" t="s">
        <v>58</v>
      </c>
      <c r="B5" s="16"/>
      <c r="C5" s="16">
        <v>1</v>
      </c>
      <c r="D5" s="16" t="s">
        <v>8</v>
      </c>
      <c r="E5" s="16" t="s">
        <v>19</v>
      </c>
      <c r="F5" s="16"/>
      <c r="G5" s="16" t="s">
        <v>20</v>
      </c>
      <c r="H5" s="2" t="s">
        <v>21</v>
      </c>
      <c r="I5" s="2">
        <v>0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 spans="1:14" ht="40" customHeight="1" x14ac:dyDescent="0.35">
      <c r="A6" s="3" t="s">
        <v>23</v>
      </c>
      <c r="B6" s="3" t="s">
        <v>60</v>
      </c>
      <c r="C6" s="4">
        <f>1*20/1000000</f>
        <v>2.0000000000000002E-5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>
        <v>0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</row>
    <row r="7" spans="1:14" ht="40" customHeight="1" x14ac:dyDescent="0.35">
      <c r="A7" s="5" t="s">
        <v>36</v>
      </c>
      <c r="B7" s="5" t="s">
        <v>61</v>
      </c>
      <c r="C7" s="6">
        <f>1*5/1000000</f>
        <v>5.0000000000000004E-6</v>
      </c>
      <c r="D7" s="6" t="s">
        <v>25</v>
      </c>
      <c r="E7" s="6" t="s">
        <v>26</v>
      </c>
      <c r="F7" s="6" t="s">
        <v>32</v>
      </c>
      <c r="G7" s="6" t="s">
        <v>28</v>
      </c>
      <c r="H7" s="6" t="s">
        <v>29</v>
      </c>
      <c r="I7" s="6">
        <v>0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</row>
    <row r="8" spans="1:14" ht="40" customHeight="1" x14ac:dyDescent="0.35">
      <c r="A8" s="3" t="s">
        <v>33</v>
      </c>
      <c r="B8" s="3" t="s">
        <v>44</v>
      </c>
      <c r="C8" s="4">
        <f>3*1.5/1000000</f>
        <v>4.5000000000000001E-6</v>
      </c>
      <c r="D8" s="4" t="s">
        <v>25</v>
      </c>
      <c r="E8" s="4" t="s">
        <v>26</v>
      </c>
      <c r="F8" s="4" t="s">
        <v>32</v>
      </c>
      <c r="G8" s="4" t="s">
        <v>28</v>
      </c>
      <c r="H8" s="4" t="s">
        <v>29</v>
      </c>
      <c r="I8" s="4">
        <v>0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</row>
    <row r="9" spans="1:14" ht="40" customHeight="1" x14ac:dyDescent="0.35">
      <c r="A9" s="5" t="s">
        <v>36</v>
      </c>
      <c r="B9" s="5" t="s">
        <v>62</v>
      </c>
      <c r="C9" s="6">
        <f>2*0.65/1000000</f>
        <v>1.3E-6</v>
      </c>
      <c r="D9" s="6" t="s">
        <v>25</v>
      </c>
      <c r="E9" s="6" t="s">
        <v>26</v>
      </c>
      <c r="F9" s="6" t="s">
        <v>32</v>
      </c>
      <c r="G9" s="6" t="s">
        <v>28</v>
      </c>
      <c r="H9" s="6" t="s">
        <v>29</v>
      </c>
      <c r="I9" s="6">
        <v>0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</row>
    <row r="10" spans="1:14" ht="20" customHeight="1" x14ac:dyDescent="0.35">
      <c r="A10" s="11" t="s">
        <v>63</v>
      </c>
      <c r="B10" s="11" t="s">
        <v>64</v>
      </c>
      <c r="C10" s="12">
        <f>35.15*26/1000000</f>
        <v>9.1389999999999993E-4</v>
      </c>
      <c r="D10" s="12" t="s">
        <v>54</v>
      </c>
      <c r="E10" s="12" t="s">
        <v>26</v>
      </c>
      <c r="F10" s="12" t="s">
        <v>27</v>
      </c>
      <c r="G10" s="12" t="s">
        <v>28</v>
      </c>
      <c r="H10" s="4" t="s">
        <v>29</v>
      </c>
      <c r="I10" s="4">
        <v>0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</row>
    <row r="11" spans="1:14" ht="40" customHeight="1" x14ac:dyDescent="0.35">
      <c r="A11" s="5" t="s">
        <v>65</v>
      </c>
      <c r="B11" s="5" t="s">
        <v>66</v>
      </c>
      <c r="C11" s="6">
        <f>1*45.63/1000</f>
        <v>4.5630000000000004E-2</v>
      </c>
      <c r="D11" s="6" t="s">
        <v>25</v>
      </c>
      <c r="E11" s="6" t="s">
        <v>26</v>
      </c>
      <c r="F11" s="6" t="s">
        <v>43</v>
      </c>
      <c r="G11" s="6" t="s">
        <v>28</v>
      </c>
      <c r="H11" s="6" t="s">
        <v>29</v>
      </c>
      <c r="I11" s="6">
        <v>0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</row>
    <row r="12" spans="1:14" ht="40" customHeight="1" x14ac:dyDescent="0.35">
      <c r="A12" s="3" t="s">
        <v>23</v>
      </c>
      <c r="B12" s="3" t="s">
        <v>67</v>
      </c>
      <c r="C12" s="4">
        <f>1*38/1000000</f>
        <v>3.8000000000000002E-5</v>
      </c>
      <c r="D12" s="4" t="s">
        <v>25</v>
      </c>
      <c r="E12" s="4" t="s">
        <v>26</v>
      </c>
      <c r="F12" s="4" t="s">
        <v>27</v>
      </c>
      <c r="G12" s="4" t="s">
        <v>28</v>
      </c>
      <c r="H12" s="4" t="s">
        <v>29</v>
      </c>
      <c r="I12" s="4">
        <v>0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</row>
    <row r="13" spans="1:14" ht="40" customHeight="1" x14ac:dyDescent="0.35">
      <c r="A13" s="5" t="s">
        <v>33</v>
      </c>
      <c r="B13" s="5" t="s">
        <v>68</v>
      </c>
      <c r="C13" s="6">
        <f>4*1.5/1000000</f>
        <v>6.0000000000000002E-6</v>
      </c>
      <c r="D13" s="6" t="s">
        <v>25</v>
      </c>
      <c r="E13" s="6" t="s">
        <v>26</v>
      </c>
      <c r="F13" s="6" t="s">
        <v>32</v>
      </c>
      <c r="G13" s="6" t="s">
        <v>28</v>
      </c>
      <c r="H13" s="6" t="s">
        <v>29</v>
      </c>
      <c r="I13" s="6">
        <v>0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</row>
    <row r="14" spans="1:14" ht="40" customHeight="1" x14ac:dyDescent="0.35">
      <c r="A14" s="3" t="s">
        <v>36</v>
      </c>
      <c r="B14" s="3" t="s">
        <v>69</v>
      </c>
      <c r="C14" s="4">
        <f>1*0.65/1000000</f>
        <v>6.5000000000000002E-7</v>
      </c>
      <c r="D14" s="4" t="s">
        <v>25</v>
      </c>
      <c r="E14" s="4" t="s">
        <v>26</v>
      </c>
      <c r="F14" s="4" t="s">
        <v>32</v>
      </c>
      <c r="G14" s="4" t="s">
        <v>28</v>
      </c>
      <c r="H14" s="4" t="s">
        <v>29</v>
      </c>
      <c r="I14" s="4">
        <v>0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</row>
    <row r="15" spans="1:14" ht="20" customHeight="1" x14ac:dyDescent="0.35">
      <c r="A15" s="17" t="s">
        <v>36</v>
      </c>
      <c r="B15" s="17" t="s">
        <v>70</v>
      </c>
      <c r="C15" s="18">
        <f>1*0.65/1000000</f>
        <v>6.5000000000000002E-7</v>
      </c>
      <c r="D15" s="18" t="s">
        <v>25</v>
      </c>
      <c r="E15" s="18" t="s">
        <v>26</v>
      </c>
      <c r="F15" s="18" t="s">
        <v>32</v>
      </c>
      <c r="G15" s="18" t="s">
        <v>28</v>
      </c>
      <c r="H15" s="6" t="s">
        <v>29</v>
      </c>
      <c r="I15" s="6">
        <v>0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</row>
    <row r="16" spans="1:14" ht="40" customHeight="1" x14ac:dyDescent="0.35">
      <c r="A16" s="3" t="s">
        <v>52</v>
      </c>
      <c r="B16" s="3" t="s">
        <v>71</v>
      </c>
      <c r="C16" s="4">
        <f>0.01</f>
        <v>0.01</v>
      </c>
      <c r="D16" s="4" t="s">
        <v>54</v>
      </c>
      <c r="E16" s="4" t="s">
        <v>26</v>
      </c>
      <c r="F16" s="4" t="s">
        <v>55</v>
      </c>
      <c r="G16" s="4" t="s">
        <v>28</v>
      </c>
      <c r="H16" s="4" t="s">
        <v>29</v>
      </c>
      <c r="I16" s="4">
        <v>0</v>
      </c>
      <c r="J16" s="4" t="s">
        <v>22</v>
      </c>
      <c r="K16" s="4" t="s">
        <v>22</v>
      </c>
      <c r="L16" s="4" t="s">
        <v>22</v>
      </c>
      <c r="M16" s="4" t="s">
        <v>22</v>
      </c>
      <c r="N16" s="4" t="s">
        <v>22</v>
      </c>
    </row>
    <row r="17" spans="1:14" ht="40" customHeight="1" x14ac:dyDescent="0.35">
      <c r="A17" s="5" t="s">
        <v>56</v>
      </c>
      <c r="B17" s="5" t="s">
        <v>72</v>
      </c>
      <c r="C17" s="6">
        <f>0.01</f>
        <v>0.01</v>
      </c>
      <c r="D17" s="6" t="s">
        <v>54</v>
      </c>
      <c r="E17" s="6" t="s">
        <v>26</v>
      </c>
      <c r="F17" s="6" t="s">
        <v>55</v>
      </c>
      <c r="G17" s="6" t="s">
        <v>28</v>
      </c>
      <c r="H17" s="6" t="s">
        <v>29</v>
      </c>
      <c r="I17" s="6">
        <v>0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</row>
  </sheetData>
  <mergeCells count="6">
    <mergeCell ref="A3:N3"/>
    <mergeCell ref="A1:G1"/>
    <mergeCell ref="A2:G2"/>
    <mergeCell ref="A15:G15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5EA7"/>
  </sheetPr>
  <dimension ref="A1:N13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52" customWidth="1"/>
    <col min="2" max="2" width="22" customWidth="1"/>
    <col min="3" max="3" width="18" customWidth="1"/>
    <col min="4" max="4" width="14" customWidth="1"/>
    <col min="5" max="5" width="22" customWidth="1"/>
    <col min="6" max="6" width="20" customWidth="1"/>
    <col min="7" max="7" width="10" customWidth="1"/>
    <col min="8" max="8" width="14" customWidth="1"/>
    <col min="9" max="9" width="16" customWidth="1"/>
    <col min="10" max="14" width="10" customWidth="1"/>
  </cols>
  <sheetData>
    <row r="1" spans="1:14" ht="20" customHeight="1" x14ac:dyDescent="0.35">
      <c r="A1" s="9" t="s">
        <v>0</v>
      </c>
      <c r="B1" s="10" t="s">
        <v>73</v>
      </c>
      <c r="C1" s="8"/>
      <c r="D1" s="8"/>
      <c r="E1" s="8"/>
      <c r="F1" s="8"/>
      <c r="G1" s="8"/>
    </row>
    <row r="2" spans="1:14" ht="18" customHeight="1" x14ac:dyDescent="0.35">
      <c r="A2" s="13" t="s">
        <v>2</v>
      </c>
      <c r="B2" s="14" t="s">
        <v>74</v>
      </c>
      <c r="C2" s="8"/>
      <c r="D2" s="8"/>
      <c r="E2" s="8"/>
      <c r="F2" s="8"/>
      <c r="G2" s="8"/>
    </row>
    <row r="3" spans="1:14" ht="18" customHeight="1" x14ac:dyDescent="0.35">
      <c r="A3" s="7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</row>
    <row r="5" spans="1:14" ht="20" customHeight="1" x14ac:dyDescent="0.35">
      <c r="A5" s="15" t="s">
        <v>73</v>
      </c>
      <c r="B5" s="16"/>
      <c r="C5" s="16">
        <v>1</v>
      </c>
      <c r="D5" s="16" t="s">
        <v>8</v>
      </c>
      <c r="E5" s="16" t="s">
        <v>19</v>
      </c>
      <c r="F5" s="16"/>
      <c r="G5" s="16" t="s">
        <v>28</v>
      </c>
      <c r="H5" s="2" t="s">
        <v>21</v>
      </c>
      <c r="I5" s="2">
        <v>0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 spans="1:14" ht="40" customHeight="1" x14ac:dyDescent="0.35">
      <c r="A6" s="3" t="s">
        <v>52</v>
      </c>
      <c r="B6" s="3" t="s">
        <v>75</v>
      </c>
      <c r="C6" s="4">
        <f>0.01</f>
        <v>0.01</v>
      </c>
      <c r="D6" s="4" t="s">
        <v>54</v>
      </c>
      <c r="E6" s="4" t="s">
        <v>26</v>
      </c>
      <c r="F6" s="4" t="s">
        <v>55</v>
      </c>
      <c r="G6" s="4" t="s">
        <v>28</v>
      </c>
      <c r="H6" s="4" t="s">
        <v>29</v>
      </c>
      <c r="I6" s="4">
        <v>0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</row>
    <row r="7" spans="1:14" ht="40" customHeight="1" x14ac:dyDescent="0.35">
      <c r="A7" s="5" t="s">
        <v>52</v>
      </c>
      <c r="B7" s="5" t="s">
        <v>76</v>
      </c>
      <c r="C7" s="6">
        <f>0.01</f>
        <v>0.01</v>
      </c>
      <c r="D7" s="6" t="s">
        <v>54</v>
      </c>
      <c r="E7" s="6" t="s">
        <v>26</v>
      </c>
      <c r="F7" s="6" t="s">
        <v>55</v>
      </c>
      <c r="G7" s="6" t="s">
        <v>28</v>
      </c>
      <c r="H7" s="6" t="s">
        <v>29</v>
      </c>
      <c r="I7" s="6">
        <v>0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</row>
    <row r="8" spans="1:14" ht="20" customHeight="1" x14ac:dyDescent="0.35">
      <c r="A8" s="11" t="s">
        <v>56</v>
      </c>
      <c r="B8" s="11" t="s">
        <v>77</v>
      </c>
      <c r="C8" s="12">
        <f>0.002</f>
        <v>2E-3</v>
      </c>
      <c r="D8" s="12" t="s">
        <v>25</v>
      </c>
      <c r="E8" s="12" t="s">
        <v>26</v>
      </c>
      <c r="F8" s="12" t="s">
        <v>55</v>
      </c>
      <c r="G8" s="12" t="s">
        <v>28</v>
      </c>
      <c r="H8" s="4" t="s">
        <v>29</v>
      </c>
      <c r="I8" s="4">
        <v>0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</row>
    <row r="9" spans="1:14" ht="40" customHeight="1" x14ac:dyDescent="0.35">
      <c r="A9" s="5" t="s">
        <v>56</v>
      </c>
      <c r="B9" s="5" t="s">
        <v>78</v>
      </c>
      <c r="C9" s="6">
        <f>0.001</f>
        <v>1E-3</v>
      </c>
      <c r="D9" s="6" t="s">
        <v>25</v>
      </c>
      <c r="E9" s="6" t="s">
        <v>26</v>
      </c>
      <c r="F9" s="6" t="s">
        <v>55</v>
      </c>
      <c r="G9" s="6" t="s">
        <v>28</v>
      </c>
      <c r="H9" s="6" t="s">
        <v>29</v>
      </c>
      <c r="I9" s="6">
        <v>0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</row>
    <row r="10" spans="1:14" ht="40" customHeight="1" x14ac:dyDescent="0.35">
      <c r="A10" s="3" t="s">
        <v>50</v>
      </c>
      <c r="B10" s="3" t="s">
        <v>79</v>
      </c>
      <c r="C10" s="4">
        <f>2*712.8/1000000</f>
        <v>1.4256E-3</v>
      </c>
      <c r="D10" s="4" t="s">
        <v>25</v>
      </c>
      <c r="E10" s="4" t="s">
        <v>26</v>
      </c>
      <c r="F10" s="4" t="s">
        <v>43</v>
      </c>
      <c r="G10" s="4" t="s">
        <v>28</v>
      </c>
      <c r="H10" s="4" t="s">
        <v>29</v>
      </c>
      <c r="I10" s="4">
        <v>0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</row>
    <row r="11" spans="1:14" ht="20" customHeight="1" x14ac:dyDescent="0.35">
      <c r="A11" s="17" t="s">
        <v>80</v>
      </c>
      <c r="B11" s="17" t="s">
        <v>81</v>
      </c>
      <c r="C11" s="18">
        <f>0.1*10/1000</f>
        <v>1E-3</v>
      </c>
      <c r="D11" s="18" t="s">
        <v>25</v>
      </c>
      <c r="E11" s="18" t="s">
        <v>26</v>
      </c>
      <c r="F11" s="18" t="s">
        <v>43</v>
      </c>
      <c r="G11" s="18" t="s">
        <v>28</v>
      </c>
      <c r="H11" s="6" t="s">
        <v>29</v>
      </c>
      <c r="I11" s="6">
        <v>0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</row>
    <row r="12" spans="1:14" ht="40" customHeight="1" x14ac:dyDescent="0.35"/>
    <row r="13" spans="1:14" ht="40" customHeight="1" x14ac:dyDescent="0.35"/>
  </sheetData>
  <mergeCells count="6">
    <mergeCell ref="A3:N3"/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N37"/>
  <sheetViews>
    <sheetView workbookViewId="0">
      <pane ySplit="8" topLeftCell="A9" activePane="bottomLeft" state="frozen"/>
      <selection pane="bottomLeft"/>
    </sheetView>
  </sheetViews>
  <sheetFormatPr baseColWidth="10" defaultColWidth="8.7265625" defaultRowHeight="14.5" x14ac:dyDescent="0.35"/>
  <cols>
    <col min="1" max="1" width="52" customWidth="1"/>
    <col min="2" max="2" width="22" customWidth="1"/>
    <col min="3" max="4" width="12" customWidth="1"/>
    <col min="5" max="5" width="22" customWidth="1"/>
    <col min="6" max="6" width="14" customWidth="1"/>
    <col min="7" max="7" width="10" customWidth="1"/>
    <col min="8" max="8" width="14" customWidth="1"/>
    <col min="9" max="9" width="16" customWidth="1"/>
    <col min="10" max="14" width="10" customWidth="1"/>
  </cols>
  <sheetData>
    <row r="1" spans="1:14" ht="28" customHeight="1" x14ac:dyDescent="0.35">
      <c r="A1" s="9" t="s">
        <v>0</v>
      </c>
      <c r="B1" s="10" t="s">
        <v>82</v>
      </c>
      <c r="C1" s="8"/>
      <c r="D1" s="8"/>
      <c r="E1" s="8"/>
    </row>
    <row r="2" spans="1:14" ht="18" customHeight="1" x14ac:dyDescent="0.35">
      <c r="A2" s="13" t="s">
        <v>2</v>
      </c>
      <c r="B2" s="14" t="s">
        <v>83</v>
      </c>
      <c r="C2" s="8"/>
      <c r="D2" s="8"/>
      <c r="E2" s="8"/>
    </row>
    <row r="3" spans="1:14" ht="10" customHeight="1" x14ac:dyDescent="0.35">
      <c r="A3" s="7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2" customHeight="1" x14ac:dyDescent="0.35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</row>
    <row r="5" spans="1:14" ht="18" customHeight="1" x14ac:dyDescent="0.35">
      <c r="A5" s="15" t="s">
        <v>82</v>
      </c>
      <c r="B5" s="16"/>
      <c r="C5" s="16">
        <v>1</v>
      </c>
      <c r="D5" s="16" t="s">
        <v>8</v>
      </c>
      <c r="E5" s="16" t="s">
        <v>19</v>
      </c>
      <c r="F5" s="2"/>
      <c r="G5" s="2" t="s">
        <v>20</v>
      </c>
      <c r="H5" s="2" t="s">
        <v>21</v>
      </c>
      <c r="I5" s="2">
        <v>0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 spans="1:14" ht="18" customHeight="1" x14ac:dyDescent="0.35">
      <c r="A6" s="17" t="s">
        <v>1</v>
      </c>
      <c r="B6" s="17"/>
      <c r="C6" s="18">
        <v>1</v>
      </c>
      <c r="D6" s="18" t="s">
        <v>8</v>
      </c>
      <c r="E6" s="18" t="s">
        <v>19</v>
      </c>
      <c r="F6" s="6"/>
      <c r="G6" s="6" t="s">
        <v>28</v>
      </c>
      <c r="H6" s="6" t="s">
        <v>29</v>
      </c>
      <c r="I6" s="6">
        <v>0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</row>
    <row r="7" spans="1:14" ht="18" customHeight="1" x14ac:dyDescent="0.35">
      <c r="A7" s="11" t="s">
        <v>58</v>
      </c>
      <c r="B7" s="11"/>
      <c r="C7" s="12">
        <v>1</v>
      </c>
      <c r="D7" s="12" t="s">
        <v>8</v>
      </c>
      <c r="E7" s="12" t="s">
        <v>19</v>
      </c>
      <c r="F7" s="4"/>
      <c r="G7" s="4" t="s">
        <v>28</v>
      </c>
      <c r="H7" s="4" t="s">
        <v>29</v>
      </c>
      <c r="I7" s="4">
        <v>0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</row>
    <row r="8" spans="1:14" ht="10" customHeight="1" x14ac:dyDescent="0.35">
      <c r="A8" s="5" t="s">
        <v>73</v>
      </c>
      <c r="B8" s="5"/>
      <c r="C8" s="6">
        <v>1</v>
      </c>
      <c r="D8" s="6" t="s">
        <v>8</v>
      </c>
      <c r="E8" s="6" t="s">
        <v>19</v>
      </c>
      <c r="F8" s="6"/>
      <c r="G8" s="6" t="s">
        <v>28</v>
      </c>
      <c r="H8" s="6" t="s">
        <v>29</v>
      </c>
      <c r="I8" s="6">
        <v>0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</row>
    <row r="9" spans="1:14" ht="28" customHeight="1" x14ac:dyDescent="0.35"/>
    <row r="10" spans="1:14" ht="22" customHeight="1" x14ac:dyDescent="0.35"/>
    <row r="11" spans="1:14" ht="22" customHeight="1" x14ac:dyDescent="0.35"/>
    <row r="12" spans="1:14" ht="22" customHeight="1" x14ac:dyDescent="0.35"/>
    <row r="13" spans="1:14" ht="22" customHeight="1" x14ac:dyDescent="0.35"/>
    <row r="14" spans="1:14" ht="22" customHeight="1" x14ac:dyDescent="0.35"/>
    <row r="15" spans="1:14" ht="22" customHeight="1" x14ac:dyDescent="0.35"/>
    <row r="16" spans="1:14" ht="22" customHeight="1" x14ac:dyDescent="0.35"/>
    <row r="17" ht="22" customHeight="1" x14ac:dyDescent="0.35"/>
    <row r="18" ht="22" customHeight="1" x14ac:dyDescent="0.35"/>
    <row r="19" ht="22" customHeight="1" x14ac:dyDescent="0.35"/>
    <row r="20" ht="22" customHeight="1" x14ac:dyDescent="0.35"/>
    <row r="21" ht="22" customHeight="1" x14ac:dyDescent="0.35"/>
    <row r="22" ht="22" customHeight="1" x14ac:dyDescent="0.35"/>
    <row r="23" ht="22" customHeight="1" x14ac:dyDescent="0.35"/>
    <row r="24" ht="22" customHeight="1" x14ac:dyDescent="0.35"/>
    <row r="25" ht="22" customHeight="1" x14ac:dyDescent="0.35"/>
    <row r="26" ht="22" customHeight="1" x14ac:dyDescent="0.35"/>
    <row r="27" ht="22" customHeight="1" x14ac:dyDescent="0.35"/>
    <row r="28" ht="22" customHeight="1" x14ac:dyDescent="0.35"/>
    <row r="29" ht="22" customHeight="1" x14ac:dyDescent="0.35"/>
    <row r="30" ht="22" customHeight="1" x14ac:dyDescent="0.35"/>
    <row r="31" ht="22" customHeight="1" x14ac:dyDescent="0.35"/>
    <row r="34" spans="1:5" ht="20" customHeight="1" x14ac:dyDescent="0.35">
      <c r="A34" s="8"/>
      <c r="B34" s="8"/>
      <c r="C34" s="8"/>
      <c r="D34" s="8"/>
      <c r="E34" s="8"/>
    </row>
    <row r="35" spans="1:5" ht="18" customHeight="1" x14ac:dyDescent="0.35">
      <c r="B35" s="8"/>
      <c r="C35" s="8"/>
      <c r="D35" s="8"/>
      <c r="E35" s="8"/>
    </row>
    <row r="36" spans="1:5" ht="18" customHeight="1" x14ac:dyDescent="0.35">
      <c r="B36" s="8"/>
      <c r="C36" s="8"/>
      <c r="D36" s="8"/>
      <c r="E36" s="8"/>
    </row>
    <row r="37" spans="1:5" ht="18" customHeight="1" x14ac:dyDescent="0.35">
      <c r="B37" s="8"/>
      <c r="C37" s="8"/>
      <c r="D37" s="8"/>
      <c r="E37" s="8"/>
    </row>
  </sheetData>
  <mergeCells count="9">
    <mergeCell ref="A1:E1"/>
    <mergeCell ref="B37:E37"/>
    <mergeCell ref="B36:E36"/>
    <mergeCell ref="A34:E34"/>
    <mergeCell ref="A4:E4"/>
    <mergeCell ref="A3:N3"/>
    <mergeCell ref="B35:E35"/>
    <mergeCell ref="A2:E2"/>
    <mergeCell ref="A5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Carte Chargeur</vt:lpstr>
      <vt:lpstr>Carte Contrôle &amp; Mesure</vt:lpstr>
      <vt:lpstr>PCB &amp; Assemblage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Amaury Lemaitre</cp:lastModifiedBy>
  <dcterms:created xsi:type="dcterms:W3CDTF">2026-04-21T18:22:25Z</dcterms:created>
  <dcterms:modified xsi:type="dcterms:W3CDTF">2026-04-23T09:03:47Z</dcterms:modified>
</cp:coreProperties>
</file>